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dynk\Documents\VBA &amp; SQL\"/>
    </mc:Choice>
  </mc:AlternateContent>
  <bookViews>
    <workbookView xWindow="0" yWindow="240" windowWidth="15510" windowHeight="5895" activeTab="3"/>
  </bookViews>
  <sheets>
    <sheet name="12.16.16" sheetId="348" r:id="rId1"/>
    <sheet name="12.29.16" sheetId="349" r:id="rId2"/>
    <sheet name="OPL" sheetId="32" r:id="rId3"/>
    <sheet name="Paste from Excel Inplace" sheetId="171" r:id="rId4"/>
    <sheet name="Setup" sheetId="25" r:id="rId5"/>
  </sheets>
  <definedNames>
    <definedName name="\D">#REF!</definedName>
    <definedName name="\I">#REF!</definedName>
    <definedName name="\P">#REF!</definedName>
    <definedName name="_xlnm.Print_Area" localSheetId="0">'12.16.16'!$A$1:$I$32</definedName>
    <definedName name="_xlnm.Print_Area" localSheetId="1">'12.29.16'!$A$1:$I$27</definedName>
    <definedName name="RptOnePage">Setup!$B$8</definedName>
    <definedName name="RptOrientation">Setup!$B$7</definedName>
    <definedName name="RptPath">Setup!$B$3</definedName>
    <definedName name="RptPlantID">Setup!$B$4</definedName>
    <definedName name="RptRenames">Setup!$A$20:$A$26</definedName>
    <definedName name="RptTitle">Setup!$B$2</definedName>
    <definedName name="RptUseEndDate">Setup!$B$14</definedName>
    <definedName name="RptUseEndTime">Setup!$B$15</definedName>
    <definedName name="RptUseProdShifts">Setup!$B$16</definedName>
    <definedName name="RptUseStartTime">Setup!$B$13</definedName>
  </definedNames>
  <calcPr calcId="162913"/>
</workbook>
</file>

<file path=xl/calcChain.xml><?xml version="1.0" encoding="utf-8"?>
<calcChain xmlns="http://schemas.openxmlformats.org/spreadsheetml/2006/main">
  <c r="G7" i="349" l="1"/>
  <c r="G26" i="349" l="1"/>
  <c r="G23" i="349"/>
  <c r="G21" i="349"/>
  <c r="G17" i="349"/>
  <c r="G16" i="349"/>
  <c r="G13" i="349"/>
  <c r="G8" i="349"/>
  <c r="G6" i="349"/>
  <c r="G31" i="348" l="1"/>
  <c r="G30" i="348"/>
  <c r="G27" i="348"/>
  <c r="G22" i="348"/>
  <c r="G21" i="348"/>
  <c r="G20" i="348"/>
  <c r="G10" i="348"/>
  <c r="G9" i="348"/>
  <c r="G6" i="348"/>
  <c r="G5" i="348"/>
  <c r="B12" i="25" l="1"/>
  <c r="A2" i="32"/>
  <c r="A3" i="32" s="1"/>
  <c r="A4" i="32" s="1"/>
  <c r="A5" i="32" s="1"/>
  <c r="A6" i="32" s="1"/>
  <c r="A7" i="32" s="1"/>
  <c r="A8" i="32" s="1"/>
  <c r="A9" i="32" s="1"/>
  <c r="A11" i="32" s="1"/>
  <c r="A12" i="32" s="1"/>
  <c r="A14" i="32" s="1"/>
  <c r="A15" i="32" s="1"/>
</calcChain>
</file>

<file path=xl/sharedStrings.xml><?xml version="1.0" encoding="utf-8"?>
<sst xmlns="http://schemas.openxmlformats.org/spreadsheetml/2006/main" count="579" uniqueCount="137">
  <si>
    <t>Open this template (look at you… you are already done with Step 1… good job)!</t>
  </si>
  <si>
    <t>Use SAP/APO transaction ZPPDSR with appropriate variant to pull schedule(s).</t>
  </si>
  <si>
    <t>View the schedule report in "Excel inplace" view.</t>
  </si>
  <si>
    <t>Grab the top right corner of the Excel view and Copy (ctrl+c).</t>
  </si>
  <si>
    <t>Click on the top right corner to select the entire worksheet and Paste (ctrl+v).</t>
  </si>
  <si>
    <t>Report Title</t>
  </si>
  <si>
    <t>Enter comments and clean-up on the sheet as needed (total run quantity on first run, material transition comments, cleanout times, etc).</t>
  </si>
  <si>
    <t>Period</t>
  </si>
  <si>
    <t>System</t>
  </si>
  <si>
    <t>Label</t>
  </si>
  <si>
    <t>Prod Shifts</t>
  </si>
  <si>
    <t>Product Code</t>
  </si>
  <si>
    <t>Amount</t>
  </si>
  <si>
    <t/>
  </si>
  <si>
    <t>Start Date</t>
  </si>
  <si>
    <r>
      <t>Click on the "</t>
    </r>
    <r>
      <rPr>
        <sz val="11"/>
        <color theme="9" tint="-0.249977111117893"/>
        <rFont val="Calibri"/>
        <family val="2"/>
        <scheme val="minor"/>
      </rPr>
      <t>Paste from Excel Inplace</t>
    </r>
    <r>
      <rPr>
        <sz val="11"/>
        <color theme="1"/>
        <rFont val="Calibri"/>
        <family val="2"/>
        <scheme val="minor"/>
      </rPr>
      <t>" tab of this template.</t>
    </r>
  </si>
  <si>
    <t>Report Save Location</t>
  </si>
  <si>
    <t>Rename Headings</t>
  </si>
  <si>
    <t>Time Stamp Columns</t>
  </si>
  <si>
    <t>End Date</t>
  </si>
  <si>
    <t>Production Shifts</t>
  </si>
  <si>
    <t>Use?</t>
  </si>
  <si>
    <t>Column</t>
  </si>
  <si>
    <t>Film</t>
  </si>
  <si>
    <t>Plant ID</t>
  </si>
  <si>
    <t>(two letter identifier that is at the beginning of each system's name)</t>
  </si>
  <si>
    <t>Report Format</t>
  </si>
  <si>
    <t>Orientation</t>
  </si>
  <si>
    <t>Force to one page?</t>
  </si>
  <si>
    <t>(if you would like to change the description of any column's, use the table below)</t>
  </si>
  <si>
    <t>Ensure the template is setup as you would like.  See options on the "Setup" tab.</t>
  </si>
  <si>
    <t>Run macro to Format Data</t>
  </si>
  <si>
    <t>Run macro to Publish Report</t>
  </si>
  <si>
    <t>If you have made changes that impact the next 24 hours, notify the appropriate operations leaders.</t>
  </si>
  <si>
    <t>E-mail copies of the updated schedule, as appropriate.</t>
  </si>
  <si>
    <t>Note, it is important to use only the cells formated above, you can right click on the last row and select "insert" to add more rows</t>
  </si>
  <si>
    <t>Fill out cells highlighted in Yellow</t>
  </si>
  <si>
    <t>Change From</t>
  </si>
  <si>
    <t>Change To</t>
  </si>
  <si>
    <t>Cartons</t>
  </si>
  <si>
    <t>Shippers</t>
  </si>
  <si>
    <t>HN</t>
  </si>
  <si>
    <t>Landscape</t>
  </si>
  <si>
    <t xml:space="preserve">Hannibal Lane Line Schedule </t>
  </si>
  <si>
    <t xml:space="preserve"># of Batches </t>
  </si>
  <si>
    <t>ENCH SAUCE POUCH</t>
  </si>
  <si>
    <t>4381292010</t>
  </si>
  <si>
    <t>Product Description</t>
  </si>
  <si>
    <t>After Lane Schedule is updated - Add the following</t>
  </si>
  <si>
    <t>1.  3rd Shift Sanitation after 2nd shift Wednesday &amp; 2nd shift Friday</t>
  </si>
  <si>
    <t>4.  Add Total Amounts in column next to Amounts - they like to see the total number they will be running for the week…</t>
  </si>
  <si>
    <t>3480741000</t>
  </si>
  <si>
    <t>Total</t>
  </si>
  <si>
    <t>Start Date Date</t>
  </si>
  <si>
    <t>Start Date Time</t>
  </si>
  <si>
    <t>DO NOT simply Start Date typing more rows below</t>
  </si>
  <si>
    <t>End Date Date</t>
  </si>
  <si>
    <t>2.  Scheduled Down - E/C OR 12/2 Down WeekEnd Date in the notes</t>
  </si>
  <si>
    <t>(End Date in ".pdf")</t>
  </si>
  <si>
    <t>End Date Time</t>
  </si>
  <si>
    <t>If any additional rows pop in to indicate material transitions (i.e. two Shippers rows), make a note to verify the timing and material numbers.  Then delete the extra rows.</t>
  </si>
  <si>
    <t>Product Desc</t>
  </si>
  <si>
    <t>Corrugate</t>
  </si>
  <si>
    <t>Instructions</t>
  </si>
  <si>
    <t>15200</t>
  </si>
  <si>
    <t>13200</t>
  </si>
  <si>
    <t>17000 - SHIP ALL TO XL</t>
  </si>
  <si>
    <t>Start Date/Time</t>
  </si>
  <si>
    <t>End Date/Time</t>
  </si>
  <si>
    <t xml:space="preserve">                                  1.988</t>
  </si>
  <si>
    <t xml:space="preserve">                                  2.981</t>
  </si>
  <si>
    <t xml:space="preserve">                                 208000</t>
  </si>
  <si>
    <t xml:space="preserve">                                 312000</t>
  </si>
  <si>
    <t xml:space="preserve">                                  0.340</t>
  </si>
  <si>
    <t xml:space="preserve">                                  34000</t>
  </si>
  <si>
    <t>DOWN WEEK - ENJOY YOUR HOLIDAY!</t>
  </si>
  <si>
    <t xml:space="preserve">                                  0.981</t>
  </si>
  <si>
    <t xml:space="preserve">                                 100000</t>
  </si>
  <si>
    <t>20170108-235959</t>
  </si>
  <si>
    <t>01/09/2017 08:00:00</t>
  </si>
  <si>
    <t>01/09/2017 23:53:46</t>
  </si>
  <si>
    <t>20170115-235959</t>
  </si>
  <si>
    <t>01/16/2017 08:00:00</t>
  </si>
  <si>
    <t>01/16/2017 10:43:12</t>
  </si>
  <si>
    <t>01/16/2017 18:40:05</t>
  </si>
  <si>
    <t xml:space="preserve">                                  0.994</t>
  </si>
  <si>
    <t xml:space="preserve">                                 104000</t>
  </si>
  <si>
    <t>12/23 - 1/2</t>
  </si>
  <si>
    <t>20170102-235959</t>
  </si>
  <si>
    <t>01/11/2017 00:02:00</t>
  </si>
  <si>
    <t>01/12/2017 00:02:00</t>
  </si>
  <si>
    <t>01/13/2017 00:02:00</t>
  </si>
  <si>
    <t>01/13/2017 15:55:46</t>
  </si>
  <si>
    <t>01/11/2017 23:52:39</t>
  </si>
  <si>
    <t>01/12/2017 23:52:39</t>
  </si>
  <si>
    <t>01/18/2017 00:04:00</t>
  </si>
  <si>
    <t>01/18/2017 23:54:39</t>
  </si>
  <si>
    <t>20170122-235959</t>
  </si>
  <si>
    <t>01/23/2017 08:00:00</t>
  </si>
  <si>
    <t>01/26/2017 00:00:00</t>
  </si>
  <si>
    <t>01/26/2017 23:50:39</t>
  </si>
  <si>
    <t>01/06/2017 00:00:00</t>
  </si>
  <si>
    <t>01/06/2017 15:53:46</t>
  </si>
  <si>
    <t>01/06/2017 23:44:21</t>
  </si>
  <si>
    <t xml:space="preserve">                                  91000</t>
  </si>
  <si>
    <t>01/10/2017 00:00:00</t>
  </si>
  <si>
    <t>01/10/2017 23:50:39</t>
  </si>
  <si>
    <t>01/13/2017 19:39:07</t>
  </si>
  <si>
    <t xml:space="preserve">                                  0.465</t>
  </si>
  <si>
    <t xml:space="preserve">                                  45600</t>
  </si>
  <si>
    <t>01/17/2017 00:04:00</t>
  </si>
  <si>
    <t>01/19/2017 00:03:00</t>
  </si>
  <si>
    <t>01/20/2017 00:03:00</t>
  </si>
  <si>
    <t>01/17/2017 23:54:39</t>
  </si>
  <si>
    <t>01/19/2017 23:53:39</t>
  </si>
  <si>
    <t>01/20/2017 23:53:39</t>
  </si>
  <si>
    <t>01/24/2017 00:06:00</t>
  </si>
  <si>
    <t>01/24/2017 02:23:44</t>
  </si>
  <si>
    <t>01/25/2017 00:00:01</t>
  </si>
  <si>
    <t>01/27/2017 00:06:00</t>
  </si>
  <si>
    <t>01/23/2017 23:54:47</t>
  </si>
  <si>
    <t>01/24/2017 22:15:56</t>
  </si>
  <si>
    <t>01/25/2017 23:50:40</t>
  </si>
  <si>
    <t>01/27/2017 23:56:39</t>
  </si>
  <si>
    <t xml:space="preserve">                                  1.990</t>
  </si>
  <si>
    <t xml:space="preserve">                                  0.288</t>
  </si>
  <si>
    <t xml:space="preserve">                                  2.483</t>
  </si>
  <si>
    <t xml:space="preserve">                                 183000</t>
  </si>
  <si>
    <t xml:space="preserve">                                  26400</t>
  </si>
  <si>
    <t xml:space="preserve">                                 260000</t>
  </si>
  <si>
    <t>Product 1</t>
  </si>
  <si>
    <t>Product 2</t>
  </si>
  <si>
    <t>Product 3</t>
  </si>
  <si>
    <t>Product 4</t>
  </si>
  <si>
    <t>Weekly Schedule</t>
  </si>
  <si>
    <t>Product 5</t>
  </si>
  <si>
    <t>3.  If running Product 5 or Product 4, make sure # of batches is notated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</si>
</sst>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ddd\ m/d/yy;@"/>
    <numFmt numFmtId="165" formatCode="0.0"/>
    <numFmt numFmtId="166" formatCode="_(* #,##0_);_(* \(#,##0\);_(* &quot;-&quot;??_);_(@_)"/>
  </numFmts>
  <fonts count="23">
    <font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9" tint="-0.249977111117893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indexed="8"/>
      <name val="Arial"/>
      <family val="2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HLV"/>
    </font>
    <font>
      <b/>
      <i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rgb="FFFF0000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B8CCE4"/>
        <bgColor indexed="64"/>
      </patternFill>
    </fill>
    <fill>
      <gradientFill degree="270">
        <stop position="0">
          <color theme="9" tint="0.40000610370189521"/>
        </stop>
        <stop position="1">
          <color theme="9" tint="0.80001220740379042"/>
        </stop>
      </gradientFill>
    </fill>
  </fills>
  <borders count="34">
    <border>
      <left/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136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8" fillId="0" borderId="0"/>
    <xf numFmtId="0" fontId="15" fillId="0" borderId="0"/>
    <xf numFmtId="0" fontId="16" fillId="0" borderId="0"/>
    <xf numFmtId="43" fontId="2" fillId="0" borderId="0" applyFont="0" applyFill="0" applyBorder="0" applyAlignment="0" applyProtection="0"/>
    <xf numFmtId="0" fontId="14" fillId="10" borderId="12">
      <alignment horizontal="center"/>
    </xf>
    <xf numFmtId="0" fontId="2" fillId="0" borderId="0"/>
    <xf numFmtId="0" fontId="14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43" fontId="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9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9" fillId="0" borderId="0" applyFont="0" applyFill="0" applyBorder="0" applyAlignment="0" applyProtection="0"/>
    <xf numFmtId="0" fontId="20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2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2" fillId="0" borderId="0" applyFont="0" applyFill="0" applyBorder="0" applyAlignment="0" applyProtection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2" fillId="0" borderId="0"/>
    <xf numFmtId="0" fontId="2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10" borderId="12">
      <alignment horizontal="center"/>
    </xf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</cellStyleXfs>
  <cellXfs count="106">
    <xf numFmtId="0" fontId="0" fillId="0" borderId="0" xfId="0"/>
    <xf numFmtId="0" fontId="1" fillId="0" borderId="0" xfId="0" applyFont="1" applyAlignment="1">
      <alignment horizontal="center"/>
    </xf>
    <xf numFmtId="0" fontId="0" fillId="5" borderId="0" xfId="0" applyFill="1"/>
    <xf numFmtId="0" fontId="7" fillId="0" borderId="0" xfId="0" applyFont="1"/>
    <xf numFmtId="0" fontId="9" fillId="0" borderId="0" xfId="0" applyFont="1"/>
    <xf numFmtId="0" fontId="10" fillId="0" borderId="0" xfId="0" applyFont="1"/>
    <xf numFmtId="0" fontId="0" fillId="5" borderId="0" xfId="0" applyFill="1" applyAlignment="1">
      <alignment horizontal="center"/>
    </xf>
    <xf numFmtId="0" fontId="10" fillId="0" borderId="0" xfId="0" applyFont="1" applyAlignment="1">
      <alignment horizontal="center"/>
    </xf>
    <xf numFmtId="0" fontId="0" fillId="5" borderId="6" xfId="0" applyFont="1" applyFill="1" applyBorder="1"/>
    <xf numFmtId="0" fontId="0" fillId="5" borderId="7" xfId="0" applyFont="1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11" fillId="0" borderId="0" xfId="0" applyFont="1"/>
    <xf numFmtId="0" fontId="0" fillId="5" borderId="8" xfId="0" applyFont="1" applyFill="1" applyBorder="1"/>
    <xf numFmtId="0" fontId="0" fillId="5" borderId="9" xfId="0" applyFont="1" applyFill="1" applyBorder="1"/>
    <xf numFmtId="14" fontId="0" fillId="0" borderId="0" xfId="0" applyNumberFormat="1"/>
    <xf numFmtId="164" fontId="0" fillId="6" borderId="0" xfId="0" applyNumberFormat="1" applyFill="1" applyAlignment="1">
      <alignment horizontal="center" vertical="center"/>
    </xf>
    <xf numFmtId="165" fontId="0" fillId="6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3" fontId="0" fillId="7" borderId="0" xfId="0" applyNumberFormat="1" applyFill="1" applyAlignment="1">
      <alignment horizontal="center" vertical="center"/>
    </xf>
    <xf numFmtId="0" fontId="17" fillId="0" borderId="0" xfId="0" applyFont="1"/>
    <xf numFmtId="164" fontId="3" fillId="6" borderId="2" xfId="1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166" fontId="0" fillId="7" borderId="0" xfId="58" applyNumberFormat="1" applyFont="1" applyFill="1" applyAlignment="1">
      <alignment horizontal="center" vertical="center"/>
    </xf>
    <xf numFmtId="166" fontId="0" fillId="6" borderId="0" xfId="58" applyNumberFormat="1" applyFont="1" applyFill="1" applyAlignment="1">
      <alignment horizontal="center" vertical="center"/>
    </xf>
    <xf numFmtId="164" fontId="3" fillId="6" borderId="16" xfId="1" applyNumberFormat="1" applyFont="1" applyFill="1" applyBorder="1" applyAlignment="1">
      <alignment horizontal="center" vertical="center"/>
    </xf>
    <xf numFmtId="165" fontId="3" fillId="6" borderId="16" xfId="1" applyNumberFormat="1" applyFont="1" applyFill="1" applyBorder="1" applyAlignment="1">
      <alignment horizontal="center" vertical="center"/>
    </xf>
    <xf numFmtId="49" fontId="3" fillId="0" borderId="16" xfId="1" applyNumberFormat="1" applyFont="1" applyFill="1" applyBorder="1" applyAlignment="1">
      <alignment horizontal="center" vertical="center"/>
    </xf>
    <xf numFmtId="49" fontId="3" fillId="6" borderId="16" xfId="1" applyNumberFormat="1" applyFont="1" applyFill="1" applyBorder="1" applyAlignment="1">
      <alignment horizontal="left" vertical="center"/>
    </xf>
    <xf numFmtId="3" fontId="3" fillId="0" borderId="16" xfId="1" applyNumberFormat="1" applyFont="1" applyFill="1" applyBorder="1" applyAlignment="1">
      <alignment horizontal="center" vertical="center"/>
    </xf>
    <xf numFmtId="49" fontId="3" fillId="6" borderId="16" xfId="1" applyNumberFormat="1" applyFont="1" applyFill="1" applyBorder="1" applyAlignment="1">
      <alignment horizontal="center" vertical="center"/>
    </xf>
    <xf numFmtId="49" fontId="3" fillId="7" borderId="16" xfId="1" applyNumberFormat="1" applyFont="1" applyFill="1" applyBorder="1" applyAlignment="1">
      <alignment horizontal="center" vertical="center"/>
    </xf>
    <xf numFmtId="166" fontId="3" fillId="6" borderId="16" xfId="58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3" fillId="9" borderId="18" xfId="1" applyNumberFormat="1" applyFont="1" applyFill="1" applyBorder="1" applyAlignment="1">
      <alignment horizontal="center" vertical="center"/>
    </xf>
    <xf numFmtId="166" fontId="3" fillId="9" borderId="22" xfId="58" applyNumberFormat="1" applyFont="1" applyFill="1" applyBorder="1" applyAlignment="1">
      <alignment horizontal="center" vertical="center"/>
    </xf>
    <xf numFmtId="3" fontId="3" fillId="9" borderId="21" xfId="1" applyNumberFormat="1" applyFont="1" applyFill="1" applyBorder="1" applyAlignment="1">
      <alignment horizontal="center" vertical="center"/>
    </xf>
    <xf numFmtId="49" fontId="3" fillId="9" borderId="21" xfId="1" applyNumberFormat="1" applyFont="1" applyFill="1" applyBorder="1" applyAlignment="1">
      <alignment horizontal="center" vertical="center"/>
    </xf>
    <xf numFmtId="165" fontId="3" fillId="9" borderId="21" xfId="1" applyNumberFormat="1" applyFont="1" applyFill="1" applyBorder="1" applyAlignment="1">
      <alignment horizontal="center" vertical="center"/>
    </xf>
    <xf numFmtId="164" fontId="3" fillId="9" borderId="21" xfId="1" applyNumberFormat="1" applyFont="1" applyFill="1" applyBorder="1" applyAlignment="1">
      <alignment horizontal="center" vertical="center"/>
    </xf>
    <xf numFmtId="164" fontId="3" fillId="6" borderId="20" xfId="947" applyNumberFormat="1" applyFont="1" applyFill="1" applyBorder="1" applyAlignment="1">
      <alignment horizontal="center" vertical="center"/>
    </xf>
    <xf numFmtId="164" fontId="22" fillId="6" borderId="2" xfId="128" applyNumberFormat="1" applyFont="1" applyFill="1" applyBorder="1" applyAlignment="1">
      <alignment horizontal="center" vertical="center"/>
    </xf>
    <xf numFmtId="164" fontId="22" fillId="6" borderId="16" xfId="128" applyNumberFormat="1" applyFont="1" applyFill="1" applyBorder="1" applyAlignment="1">
      <alignment horizontal="center" vertical="center"/>
    </xf>
    <xf numFmtId="165" fontId="22" fillId="6" borderId="16" xfId="128" applyNumberFormat="1" applyFont="1" applyFill="1" applyBorder="1" applyAlignment="1">
      <alignment horizontal="center" vertical="center"/>
    </xf>
    <xf numFmtId="49" fontId="22" fillId="6" borderId="16" xfId="128" applyNumberFormat="1" applyFont="1" applyFill="1" applyBorder="1" applyAlignment="1">
      <alignment horizontal="center" vertical="center"/>
    </xf>
    <xf numFmtId="49" fontId="22" fillId="6" borderId="16" xfId="128" applyNumberFormat="1" applyFont="1" applyFill="1" applyBorder="1" applyAlignment="1">
      <alignment horizontal="left" vertical="center"/>
    </xf>
    <xf numFmtId="49" fontId="22" fillId="0" borderId="16" xfId="128" applyNumberFormat="1" applyFont="1" applyFill="1" applyBorder="1" applyAlignment="1">
      <alignment horizontal="center" vertical="center"/>
    </xf>
    <xf numFmtId="3" fontId="22" fillId="0" borderId="16" xfId="128" applyNumberFormat="1" applyFont="1" applyFill="1" applyBorder="1" applyAlignment="1">
      <alignment horizontal="center" vertical="center"/>
    </xf>
    <xf numFmtId="164" fontId="22" fillId="9" borderId="24" xfId="128" applyNumberFormat="1" applyFont="1" applyFill="1" applyBorder="1" applyAlignment="1">
      <alignment horizontal="center" vertical="center"/>
    </xf>
    <xf numFmtId="165" fontId="22" fillId="9" borderId="24" xfId="128" applyNumberFormat="1" applyFont="1" applyFill="1" applyBorder="1" applyAlignment="1">
      <alignment horizontal="center" vertical="center"/>
    </xf>
    <xf numFmtId="49" fontId="22" fillId="9" borderId="24" xfId="128" applyNumberFormat="1" applyFont="1" applyFill="1" applyBorder="1" applyAlignment="1">
      <alignment horizontal="center" vertical="center"/>
    </xf>
    <xf numFmtId="3" fontId="22" fillId="9" borderId="24" xfId="128" applyNumberFormat="1" applyFont="1" applyFill="1" applyBorder="1" applyAlignment="1">
      <alignment horizontal="center" vertical="center"/>
    </xf>
    <xf numFmtId="49" fontId="22" fillId="7" borderId="16" xfId="128" applyNumberFormat="1" applyFont="1" applyFill="1" applyBorder="1" applyAlignment="1">
      <alignment horizontal="center" vertical="center"/>
    </xf>
    <xf numFmtId="164" fontId="22" fillId="9" borderId="26" xfId="128" applyNumberFormat="1" applyFont="1" applyFill="1" applyBorder="1" applyAlignment="1">
      <alignment horizontal="center" vertical="center"/>
    </xf>
    <xf numFmtId="165" fontId="22" fillId="9" borderId="26" xfId="128" applyNumberFormat="1" applyFont="1" applyFill="1" applyBorder="1" applyAlignment="1">
      <alignment horizontal="center" vertical="center"/>
    </xf>
    <xf numFmtId="49" fontId="22" fillId="9" borderId="26" xfId="128" applyNumberFormat="1" applyFont="1" applyFill="1" applyBorder="1" applyAlignment="1">
      <alignment horizontal="center" vertical="center"/>
    </xf>
    <xf numFmtId="3" fontId="22" fillId="9" borderId="26" xfId="128" applyNumberFormat="1" applyFont="1" applyFill="1" applyBorder="1" applyAlignment="1">
      <alignment horizontal="center" vertical="center"/>
    </xf>
    <xf numFmtId="166" fontId="22" fillId="9" borderId="24" xfId="58" applyNumberFormat="1" applyFont="1" applyFill="1" applyBorder="1" applyAlignment="1">
      <alignment horizontal="center" vertical="center"/>
    </xf>
    <xf numFmtId="166" fontId="22" fillId="6" borderId="16" xfId="58" applyNumberFormat="1" applyFont="1" applyFill="1" applyBorder="1" applyAlignment="1">
      <alignment horizontal="center" vertical="center"/>
    </xf>
    <xf numFmtId="164" fontId="3" fillId="9" borderId="28" xfId="1" applyNumberFormat="1" applyFont="1" applyFill="1" applyBorder="1" applyAlignment="1">
      <alignment horizontal="center" vertical="center"/>
    </xf>
    <xf numFmtId="165" fontId="3" fillId="9" borderId="28" xfId="1" applyNumberFormat="1" applyFont="1" applyFill="1" applyBorder="1" applyAlignment="1">
      <alignment horizontal="center" vertical="center"/>
    </xf>
    <xf numFmtId="49" fontId="3" fillId="9" borderId="28" xfId="1" applyNumberFormat="1" applyFont="1" applyFill="1" applyBorder="1" applyAlignment="1">
      <alignment horizontal="center" vertical="center"/>
    </xf>
    <xf numFmtId="3" fontId="3" fillId="9" borderId="28" xfId="1" applyNumberFormat="1" applyFont="1" applyFill="1" applyBorder="1" applyAlignment="1">
      <alignment horizontal="center" vertical="center"/>
    </xf>
    <xf numFmtId="164" fontId="3" fillId="9" borderId="30" xfId="1" applyNumberFormat="1" applyFont="1" applyFill="1" applyBorder="1" applyAlignment="1">
      <alignment horizontal="center" vertical="center"/>
    </xf>
    <xf numFmtId="165" fontId="3" fillId="9" borderId="30" xfId="1" applyNumberFormat="1" applyFont="1" applyFill="1" applyBorder="1" applyAlignment="1">
      <alignment horizontal="center" vertical="center"/>
    </xf>
    <xf numFmtId="49" fontId="3" fillId="9" borderId="30" xfId="1" applyNumberFormat="1" applyFont="1" applyFill="1" applyBorder="1" applyAlignment="1">
      <alignment horizontal="center" vertical="center"/>
    </xf>
    <xf numFmtId="3" fontId="3" fillId="9" borderId="30" xfId="1" applyNumberFormat="1" applyFont="1" applyFill="1" applyBorder="1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2" fontId="3" fillId="9" borderId="28" xfId="1" applyNumberFormat="1" applyFont="1" applyFill="1" applyBorder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4" borderId="2" xfId="1" applyNumberFormat="1" applyFont="1" applyFill="1" applyBorder="1"/>
    <xf numFmtId="49" fontId="3" fillId="4" borderId="16" xfId="1" applyNumberFormat="1" applyFont="1" applyFill="1" applyBorder="1"/>
    <xf numFmtId="49" fontId="3" fillId="3" borderId="1" xfId="1" applyNumberFormat="1" applyFont="1" applyFill="1" applyBorder="1"/>
    <xf numFmtId="49" fontId="3" fillId="3" borderId="32" xfId="1" applyNumberFormat="1" applyFont="1" applyFill="1" applyBorder="1"/>
    <xf numFmtId="49" fontId="3" fillId="3" borderId="33" xfId="1" applyNumberFormat="1" applyFont="1" applyFill="1" applyBorder="1" applyAlignment="1">
      <alignment horizontal="left"/>
    </xf>
    <xf numFmtId="49" fontId="3" fillId="3" borderId="4" xfId="1" applyNumberFormat="1" applyFont="1" applyFill="1" applyBorder="1" applyAlignment="1">
      <alignment horizontal="left"/>
    </xf>
    <xf numFmtId="49" fontId="3" fillId="3" borderId="2" xfId="1" applyNumberFormat="1" applyFont="1" applyFill="1" applyBorder="1" applyAlignment="1">
      <alignment horizontal="left"/>
    </xf>
    <xf numFmtId="49" fontId="3" fillId="3" borderId="31" xfId="1" applyNumberFormat="1" applyFont="1" applyFill="1" applyBorder="1" applyAlignment="1">
      <alignment horizontal="left"/>
    </xf>
    <xf numFmtId="49" fontId="3" fillId="3" borderId="3" xfId="1" applyNumberFormat="1" applyFont="1" applyFill="1" applyBorder="1" applyAlignment="1">
      <alignment horizontal="left"/>
    </xf>
    <xf numFmtId="49" fontId="3" fillId="3" borderId="5" xfId="1" applyNumberFormat="1" applyFont="1" applyFill="1" applyBorder="1" applyAlignment="1">
      <alignment horizontal="left"/>
    </xf>
    <xf numFmtId="0" fontId="3" fillId="2" borderId="33" xfId="1" applyFont="1" applyFill="1" applyBorder="1"/>
    <xf numFmtId="0" fontId="3" fillId="2" borderId="16" xfId="1" applyFont="1" applyFill="1" applyBorder="1"/>
    <xf numFmtId="164" fontId="12" fillId="8" borderId="19" xfId="1" applyNumberFormat="1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/>
    </xf>
    <xf numFmtId="49" fontId="21" fillId="0" borderId="13" xfId="947" applyNumberFormat="1" applyFont="1" applyFill="1" applyBorder="1" applyAlignment="1">
      <alignment horizontal="center" vertical="center" wrapText="1"/>
    </xf>
    <xf numFmtId="49" fontId="21" fillId="0" borderId="15" xfId="947" applyNumberFormat="1" applyFont="1" applyFill="1" applyBorder="1" applyAlignment="1">
      <alignment horizontal="center" vertical="center" wrapText="1"/>
    </xf>
    <xf numFmtId="49" fontId="21" fillId="0" borderId="14" xfId="947" applyNumberFormat="1" applyFont="1" applyFill="1" applyBorder="1" applyAlignment="1">
      <alignment horizontal="center" vertical="center" wrapText="1"/>
    </xf>
    <xf numFmtId="164" fontId="0" fillId="7" borderId="17" xfId="0" applyNumberFormat="1" applyFill="1" applyBorder="1" applyAlignment="1">
      <alignment horizontal="center" vertical="center"/>
    </xf>
    <xf numFmtId="164" fontId="12" fillId="8" borderId="23" xfId="128" applyNumberFormat="1" applyFont="1" applyFill="1" applyBorder="1" applyAlignment="1">
      <alignment horizontal="center" vertical="center"/>
    </xf>
    <xf numFmtId="0" fontId="13" fillId="8" borderId="23" xfId="0" applyFont="1" applyFill="1" applyBorder="1" applyAlignment="1">
      <alignment horizontal="center" vertical="center"/>
    </xf>
    <xf numFmtId="164" fontId="12" fillId="8" borderId="25" xfId="128" applyNumberFormat="1" applyFont="1" applyFill="1" applyBorder="1" applyAlignment="1">
      <alignment horizontal="center" vertical="center"/>
    </xf>
    <xf numFmtId="0" fontId="13" fillId="8" borderId="25" xfId="0" applyFont="1" applyFill="1" applyBorder="1" applyAlignment="1">
      <alignment horizontal="center" vertical="center"/>
    </xf>
    <xf numFmtId="164" fontId="12" fillId="8" borderId="27" xfId="1" applyNumberFormat="1" applyFont="1" applyFill="1" applyBorder="1" applyAlignment="1">
      <alignment horizontal="center" vertical="center"/>
    </xf>
    <xf numFmtId="0" fontId="13" fillId="8" borderId="27" xfId="0" applyFont="1" applyFill="1" applyBorder="1" applyAlignment="1">
      <alignment horizontal="center" vertical="center"/>
    </xf>
    <xf numFmtId="164" fontId="12" fillId="8" borderId="29" xfId="1" applyNumberFormat="1" applyFont="1" applyFill="1" applyBorder="1" applyAlignment="1">
      <alignment horizontal="center" vertical="center"/>
    </xf>
    <xf numFmtId="0" fontId="13" fillId="8" borderId="2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0" xfId="0" applyFill="1" applyAlignment="1"/>
    <xf numFmtId="0" fontId="4" fillId="5" borderId="0" xfId="2" applyFill="1" applyAlignment="1" applyProtection="1">
      <alignment wrapText="1"/>
    </xf>
  </cellXfs>
  <cellStyles count="1136">
    <cellStyle name="Comma" xfId="58" builtinId="3"/>
    <cellStyle name="Comma 10" xfId="510"/>
    <cellStyle name="Comma 11" xfId="622"/>
    <cellStyle name="Comma 12" xfId="733"/>
    <cellStyle name="Comma 13" xfId="802"/>
    <cellStyle name="Comma 14" xfId="915"/>
    <cellStyle name="Comma 15" xfId="1068"/>
    <cellStyle name="Comma 2" xfId="7"/>
    <cellStyle name="Comma 3" xfId="14"/>
    <cellStyle name="Comma 3 10" xfId="582"/>
    <cellStyle name="Comma 3 11" xfId="693"/>
    <cellStyle name="Comma 3 12" xfId="807"/>
    <cellStyle name="Comma 3 13" xfId="918"/>
    <cellStyle name="Comma 3 14" xfId="1028"/>
    <cellStyle name="Comma 3 2" xfId="17"/>
    <cellStyle name="Comma 3 2 10" xfId="696"/>
    <cellStyle name="Comma 3 2 11" xfId="810"/>
    <cellStyle name="Comma 3 2 12" xfId="921"/>
    <cellStyle name="Comma 3 2 13" xfId="1031"/>
    <cellStyle name="Comma 3 2 2" xfId="24"/>
    <cellStyle name="Comma 3 2 2 10" xfId="817"/>
    <cellStyle name="Comma 3 2 2 11" xfId="928"/>
    <cellStyle name="Comma 3 2 2 12" xfId="1038"/>
    <cellStyle name="Comma 3 2 2 2" xfId="38"/>
    <cellStyle name="Comma 3 2 2 2 10" xfId="942"/>
    <cellStyle name="Comma 3 2 2 2 11" xfId="1052"/>
    <cellStyle name="Comma 3 2 2 2 2" xfId="105"/>
    <cellStyle name="Comma 3 2 2 2 2 10" xfId="1114"/>
    <cellStyle name="Comma 3 2 2 2 2 2" xfId="219"/>
    <cellStyle name="Comma 3 2 2 2 2 3" xfId="332"/>
    <cellStyle name="Comma 3 2 2 2 2 4" xfId="445"/>
    <cellStyle name="Comma 3 2 2 2 2 5" xfId="556"/>
    <cellStyle name="Comma 3 2 2 2 2 6" xfId="668"/>
    <cellStyle name="Comma 3 2 2 2 2 7" xfId="779"/>
    <cellStyle name="Comma 3 2 2 2 2 8" xfId="892"/>
    <cellStyle name="Comma 3 2 2 2 2 9" xfId="1003"/>
    <cellStyle name="Comma 3 2 2 2 3" xfId="156"/>
    <cellStyle name="Comma 3 2 2 2 4" xfId="269"/>
    <cellStyle name="Comma 3 2 2 2 5" xfId="383"/>
    <cellStyle name="Comma 3 2 2 2 6" xfId="494"/>
    <cellStyle name="Comma 3 2 2 2 7" xfId="606"/>
    <cellStyle name="Comma 3 2 2 2 8" xfId="717"/>
    <cellStyle name="Comma 3 2 2 2 9" xfId="831"/>
    <cellStyle name="Comma 3 2 2 3" xfId="91"/>
    <cellStyle name="Comma 3 2 2 3 10" xfId="1100"/>
    <cellStyle name="Comma 3 2 2 3 2" xfId="205"/>
    <cellStyle name="Comma 3 2 2 3 3" xfId="318"/>
    <cellStyle name="Comma 3 2 2 3 4" xfId="431"/>
    <cellStyle name="Comma 3 2 2 3 5" xfId="542"/>
    <cellStyle name="Comma 3 2 2 3 6" xfId="654"/>
    <cellStyle name="Comma 3 2 2 3 7" xfId="765"/>
    <cellStyle name="Comma 3 2 2 3 8" xfId="878"/>
    <cellStyle name="Comma 3 2 2 3 9" xfId="989"/>
    <cellStyle name="Comma 3 2 2 4" xfId="142"/>
    <cellStyle name="Comma 3 2 2 5" xfId="255"/>
    <cellStyle name="Comma 3 2 2 6" xfId="369"/>
    <cellStyle name="Comma 3 2 2 7" xfId="480"/>
    <cellStyle name="Comma 3 2 2 8" xfId="592"/>
    <cellStyle name="Comma 3 2 2 9" xfId="703"/>
    <cellStyle name="Comma 3 2 3" xfId="31"/>
    <cellStyle name="Comma 3 2 3 10" xfId="935"/>
    <cellStyle name="Comma 3 2 3 11" xfId="1045"/>
    <cellStyle name="Comma 3 2 3 2" xfId="98"/>
    <cellStyle name="Comma 3 2 3 2 10" xfId="1107"/>
    <cellStyle name="Comma 3 2 3 2 2" xfId="212"/>
    <cellStyle name="Comma 3 2 3 2 3" xfId="325"/>
    <cellStyle name="Comma 3 2 3 2 4" xfId="438"/>
    <cellStyle name="Comma 3 2 3 2 5" xfId="549"/>
    <cellStyle name="Comma 3 2 3 2 6" xfId="661"/>
    <cellStyle name="Comma 3 2 3 2 7" xfId="772"/>
    <cellStyle name="Comma 3 2 3 2 8" xfId="885"/>
    <cellStyle name="Comma 3 2 3 2 9" xfId="996"/>
    <cellStyle name="Comma 3 2 3 3" xfId="149"/>
    <cellStyle name="Comma 3 2 3 4" xfId="262"/>
    <cellStyle name="Comma 3 2 3 5" xfId="376"/>
    <cellStyle name="Comma 3 2 3 6" xfId="487"/>
    <cellStyle name="Comma 3 2 3 7" xfId="599"/>
    <cellStyle name="Comma 3 2 3 8" xfId="710"/>
    <cellStyle name="Comma 3 2 3 9" xfId="824"/>
    <cellStyle name="Comma 3 2 4" xfId="84"/>
    <cellStyle name="Comma 3 2 4 10" xfId="1093"/>
    <cellStyle name="Comma 3 2 4 2" xfId="198"/>
    <cellStyle name="Comma 3 2 4 3" xfId="311"/>
    <cellStyle name="Comma 3 2 4 4" xfId="424"/>
    <cellStyle name="Comma 3 2 4 5" xfId="535"/>
    <cellStyle name="Comma 3 2 4 6" xfId="647"/>
    <cellStyle name="Comma 3 2 4 7" xfId="758"/>
    <cellStyle name="Comma 3 2 4 8" xfId="871"/>
    <cellStyle name="Comma 3 2 4 9" xfId="982"/>
    <cellStyle name="Comma 3 2 5" xfId="135"/>
    <cellStyle name="Comma 3 2 6" xfId="248"/>
    <cellStyle name="Comma 3 2 7" xfId="362"/>
    <cellStyle name="Comma 3 2 8" xfId="473"/>
    <cellStyle name="Comma 3 2 9" xfId="585"/>
    <cellStyle name="Comma 3 3" xfId="21"/>
    <cellStyle name="Comma 3 3 10" xfId="814"/>
    <cellStyle name="Comma 3 3 11" xfId="925"/>
    <cellStyle name="Comma 3 3 12" xfId="1035"/>
    <cellStyle name="Comma 3 3 2" xfId="35"/>
    <cellStyle name="Comma 3 3 2 10" xfId="939"/>
    <cellStyle name="Comma 3 3 2 11" xfId="1049"/>
    <cellStyle name="Comma 3 3 2 2" xfId="102"/>
    <cellStyle name="Comma 3 3 2 2 10" xfId="1111"/>
    <cellStyle name="Comma 3 3 2 2 2" xfId="216"/>
    <cellStyle name="Comma 3 3 2 2 3" xfId="329"/>
    <cellStyle name="Comma 3 3 2 2 4" xfId="442"/>
    <cellStyle name="Comma 3 3 2 2 5" xfId="553"/>
    <cellStyle name="Comma 3 3 2 2 6" xfId="665"/>
    <cellStyle name="Comma 3 3 2 2 7" xfId="776"/>
    <cellStyle name="Comma 3 3 2 2 8" xfId="889"/>
    <cellStyle name="Comma 3 3 2 2 9" xfId="1000"/>
    <cellStyle name="Comma 3 3 2 3" xfId="153"/>
    <cellStyle name="Comma 3 3 2 4" xfId="266"/>
    <cellStyle name="Comma 3 3 2 5" xfId="380"/>
    <cellStyle name="Comma 3 3 2 6" xfId="491"/>
    <cellStyle name="Comma 3 3 2 7" xfId="603"/>
    <cellStyle name="Comma 3 3 2 8" xfId="714"/>
    <cellStyle name="Comma 3 3 2 9" xfId="828"/>
    <cellStyle name="Comma 3 3 3" xfId="88"/>
    <cellStyle name="Comma 3 3 3 10" xfId="1097"/>
    <cellStyle name="Comma 3 3 3 2" xfId="202"/>
    <cellStyle name="Comma 3 3 3 3" xfId="315"/>
    <cellStyle name="Comma 3 3 3 4" xfId="428"/>
    <cellStyle name="Comma 3 3 3 5" xfId="539"/>
    <cellStyle name="Comma 3 3 3 6" xfId="651"/>
    <cellStyle name="Comma 3 3 3 7" xfId="762"/>
    <cellStyle name="Comma 3 3 3 8" xfId="875"/>
    <cellStyle name="Comma 3 3 3 9" xfId="986"/>
    <cellStyle name="Comma 3 3 4" xfId="139"/>
    <cellStyle name="Comma 3 3 5" xfId="252"/>
    <cellStyle name="Comma 3 3 6" xfId="366"/>
    <cellStyle name="Comma 3 3 7" xfId="477"/>
    <cellStyle name="Comma 3 3 8" xfId="589"/>
    <cellStyle name="Comma 3 3 9" xfId="700"/>
    <cellStyle name="Comma 3 4" xfId="28"/>
    <cellStyle name="Comma 3 4 10" xfId="932"/>
    <cellStyle name="Comma 3 4 11" xfId="1042"/>
    <cellStyle name="Comma 3 4 2" xfId="95"/>
    <cellStyle name="Comma 3 4 2 10" xfId="1104"/>
    <cellStyle name="Comma 3 4 2 2" xfId="209"/>
    <cellStyle name="Comma 3 4 2 3" xfId="322"/>
    <cellStyle name="Comma 3 4 2 4" xfId="435"/>
    <cellStyle name="Comma 3 4 2 5" xfId="546"/>
    <cellStyle name="Comma 3 4 2 6" xfId="658"/>
    <cellStyle name="Comma 3 4 2 7" xfId="769"/>
    <cellStyle name="Comma 3 4 2 8" xfId="882"/>
    <cellStyle name="Comma 3 4 2 9" xfId="993"/>
    <cellStyle name="Comma 3 4 3" xfId="146"/>
    <cellStyle name="Comma 3 4 4" xfId="259"/>
    <cellStyle name="Comma 3 4 5" xfId="373"/>
    <cellStyle name="Comma 3 4 6" xfId="484"/>
    <cellStyle name="Comma 3 4 7" xfId="596"/>
    <cellStyle name="Comma 3 4 8" xfId="707"/>
    <cellStyle name="Comma 3 4 9" xfId="821"/>
    <cellStyle name="Comma 3 5" xfId="81"/>
    <cellStyle name="Comma 3 5 10" xfId="1090"/>
    <cellStyle name="Comma 3 5 2" xfId="195"/>
    <cellStyle name="Comma 3 5 3" xfId="308"/>
    <cellStyle name="Comma 3 5 4" xfId="421"/>
    <cellStyle name="Comma 3 5 5" xfId="532"/>
    <cellStyle name="Comma 3 5 6" xfId="644"/>
    <cellStyle name="Comma 3 5 7" xfId="755"/>
    <cellStyle name="Comma 3 5 8" xfId="868"/>
    <cellStyle name="Comma 3 5 9" xfId="979"/>
    <cellStyle name="Comma 3 6" xfId="132"/>
    <cellStyle name="Comma 3 7" xfId="245"/>
    <cellStyle name="Comma 3 8" xfId="359"/>
    <cellStyle name="Comma 3 9" xfId="470"/>
    <cellStyle name="Comma 4" xfId="11"/>
    <cellStyle name="Comma 5" xfId="40"/>
    <cellStyle name="Comma 6" xfId="127"/>
    <cellStyle name="Comma 6 2" xfId="354"/>
    <cellStyle name="Comma 6 3" xfId="241"/>
    <cellStyle name="Comma 7" xfId="172"/>
    <cellStyle name="Comma 8" xfId="285"/>
    <cellStyle name="Comma 9" xfId="399"/>
    <cellStyle name="Hyperlink" xfId="2" builtinId="8"/>
    <cellStyle name="Hyperlink 2" xfId="51"/>
    <cellStyle name="Normal" xfId="0" builtinId="0"/>
    <cellStyle name="Normal 10" xfId="44"/>
    <cellStyle name="Normal 10 10" xfId="947"/>
    <cellStyle name="Normal 10 11" xfId="1057"/>
    <cellStyle name="Normal 10 2" xfId="110"/>
    <cellStyle name="Normal 10 2 10" xfId="1119"/>
    <cellStyle name="Normal 10 2 2" xfId="224"/>
    <cellStyle name="Normal 10 2 3" xfId="337"/>
    <cellStyle name="Normal 10 2 4" xfId="450"/>
    <cellStyle name="Normal 10 2 5" xfId="561"/>
    <cellStyle name="Normal 10 2 6" xfId="673"/>
    <cellStyle name="Normal 10 2 7" xfId="784"/>
    <cellStyle name="Normal 10 2 8" xfId="897"/>
    <cellStyle name="Normal 10 2 9" xfId="1008"/>
    <cellStyle name="Normal 10 3" xfId="161"/>
    <cellStyle name="Normal 10 4" xfId="274"/>
    <cellStyle name="Normal 10 5" xfId="388"/>
    <cellStyle name="Normal 10 6" xfId="499"/>
    <cellStyle name="Normal 10 7" xfId="611"/>
    <cellStyle name="Normal 10 8" xfId="722"/>
    <cellStyle name="Normal 10 9" xfId="836"/>
    <cellStyle name="Normal 11" xfId="45"/>
    <cellStyle name="Normal 11 10" xfId="948"/>
    <cellStyle name="Normal 11 11" xfId="1058"/>
    <cellStyle name="Normal 11 2" xfId="111"/>
    <cellStyle name="Normal 11 2 10" xfId="1120"/>
    <cellStyle name="Normal 11 2 2" xfId="225"/>
    <cellStyle name="Normal 11 2 3" xfId="338"/>
    <cellStyle name="Normal 11 2 4" xfId="451"/>
    <cellStyle name="Normal 11 2 5" xfId="562"/>
    <cellStyle name="Normal 11 2 6" xfId="674"/>
    <cellStyle name="Normal 11 2 7" xfId="785"/>
    <cellStyle name="Normal 11 2 8" xfId="898"/>
    <cellStyle name="Normal 11 2 9" xfId="1009"/>
    <cellStyle name="Normal 11 3" xfId="162"/>
    <cellStyle name="Normal 11 4" xfId="275"/>
    <cellStyle name="Normal 11 5" xfId="389"/>
    <cellStyle name="Normal 11 6" xfId="500"/>
    <cellStyle name="Normal 11 7" xfId="612"/>
    <cellStyle name="Normal 11 8" xfId="723"/>
    <cellStyle name="Normal 11 9" xfId="837"/>
    <cellStyle name="Normal 12" xfId="46"/>
    <cellStyle name="Normal 12 10" xfId="949"/>
    <cellStyle name="Normal 12 11" xfId="1059"/>
    <cellStyle name="Normal 12 2" xfId="112"/>
    <cellStyle name="Normal 12 2 10" xfId="1121"/>
    <cellStyle name="Normal 12 2 2" xfId="226"/>
    <cellStyle name="Normal 12 2 3" xfId="339"/>
    <cellStyle name="Normal 12 2 4" xfId="452"/>
    <cellStyle name="Normal 12 2 5" xfId="563"/>
    <cellStyle name="Normal 12 2 6" xfId="675"/>
    <cellStyle name="Normal 12 2 7" xfId="786"/>
    <cellStyle name="Normal 12 2 8" xfId="899"/>
    <cellStyle name="Normal 12 2 9" xfId="1010"/>
    <cellStyle name="Normal 12 3" xfId="163"/>
    <cellStyle name="Normal 12 4" xfId="276"/>
    <cellStyle name="Normal 12 5" xfId="390"/>
    <cellStyle name="Normal 12 6" xfId="501"/>
    <cellStyle name="Normal 12 7" xfId="613"/>
    <cellStyle name="Normal 12 8" xfId="724"/>
    <cellStyle name="Normal 12 9" xfId="838"/>
    <cellStyle name="Normal 13" xfId="47"/>
    <cellStyle name="Normal 13 10" xfId="950"/>
    <cellStyle name="Normal 13 11" xfId="1060"/>
    <cellStyle name="Normal 13 2" xfId="113"/>
    <cellStyle name="Normal 13 2 10" xfId="1122"/>
    <cellStyle name="Normal 13 2 2" xfId="227"/>
    <cellStyle name="Normal 13 2 3" xfId="340"/>
    <cellStyle name="Normal 13 2 4" xfId="453"/>
    <cellStyle name="Normal 13 2 5" xfId="564"/>
    <cellStyle name="Normal 13 2 6" xfId="676"/>
    <cellStyle name="Normal 13 2 7" xfId="787"/>
    <cellStyle name="Normal 13 2 8" xfId="900"/>
    <cellStyle name="Normal 13 2 9" xfId="1011"/>
    <cellStyle name="Normal 13 3" xfId="164"/>
    <cellStyle name="Normal 13 4" xfId="277"/>
    <cellStyle name="Normal 13 5" xfId="391"/>
    <cellStyle name="Normal 13 6" xfId="502"/>
    <cellStyle name="Normal 13 7" xfId="614"/>
    <cellStyle name="Normal 13 8" xfId="725"/>
    <cellStyle name="Normal 13 9" xfId="839"/>
    <cellStyle name="Normal 14" xfId="48"/>
    <cellStyle name="Normal 14 10" xfId="951"/>
    <cellStyle name="Normal 14 11" xfId="1061"/>
    <cellStyle name="Normal 14 2" xfId="114"/>
    <cellStyle name="Normal 14 2 10" xfId="1123"/>
    <cellStyle name="Normal 14 2 2" xfId="228"/>
    <cellStyle name="Normal 14 2 3" xfId="341"/>
    <cellStyle name="Normal 14 2 4" xfId="454"/>
    <cellStyle name="Normal 14 2 5" xfId="565"/>
    <cellStyle name="Normal 14 2 6" xfId="677"/>
    <cellStyle name="Normal 14 2 7" xfId="788"/>
    <cellStyle name="Normal 14 2 8" xfId="901"/>
    <cellStyle name="Normal 14 2 9" xfId="1012"/>
    <cellStyle name="Normal 14 3" xfId="165"/>
    <cellStyle name="Normal 14 4" xfId="278"/>
    <cellStyle name="Normal 14 5" xfId="392"/>
    <cellStyle name="Normal 14 6" xfId="503"/>
    <cellStyle name="Normal 14 7" xfId="615"/>
    <cellStyle name="Normal 14 8" xfId="726"/>
    <cellStyle name="Normal 14 9" xfId="840"/>
    <cellStyle name="Normal 15" xfId="49"/>
    <cellStyle name="Normal 15 10" xfId="952"/>
    <cellStyle name="Normal 15 11" xfId="1062"/>
    <cellStyle name="Normal 15 2" xfId="115"/>
    <cellStyle name="Normal 15 2 10" xfId="1124"/>
    <cellStyle name="Normal 15 2 2" xfId="229"/>
    <cellStyle name="Normal 15 2 3" xfId="342"/>
    <cellStyle name="Normal 15 2 4" xfId="455"/>
    <cellStyle name="Normal 15 2 5" xfId="566"/>
    <cellStyle name="Normal 15 2 6" xfId="678"/>
    <cellStyle name="Normal 15 2 7" xfId="789"/>
    <cellStyle name="Normal 15 2 8" xfId="902"/>
    <cellStyle name="Normal 15 2 9" xfId="1013"/>
    <cellStyle name="Normal 15 3" xfId="166"/>
    <cellStyle name="Normal 15 4" xfId="279"/>
    <cellStyle name="Normal 15 5" xfId="393"/>
    <cellStyle name="Normal 15 6" xfId="504"/>
    <cellStyle name="Normal 15 7" xfId="616"/>
    <cellStyle name="Normal 15 8" xfId="727"/>
    <cellStyle name="Normal 15 9" xfId="841"/>
    <cellStyle name="Normal 16" xfId="53"/>
    <cellStyle name="Normal 16 10" xfId="953"/>
    <cellStyle name="Normal 16 11" xfId="1063"/>
    <cellStyle name="Normal 16 2" xfId="116"/>
    <cellStyle name="Normal 16 2 10" xfId="1125"/>
    <cellStyle name="Normal 16 2 2" xfId="230"/>
    <cellStyle name="Normal 16 2 3" xfId="343"/>
    <cellStyle name="Normal 16 2 4" xfId="456"/>
    <cellStyle name="Normal 16 2 5" xfId="567"/>
    <cellStyle name="Normal 16 2 6" xfId="679"/>
    <cellStyle name="Normal 16 2 7" xfId="790"/>
    <cellStyle name="Normal 16 2 8" xfId="903"/>
    <cellStyle name="Normal 16 2 9" xfId="1014"/>
    <cellStyle name="Normal 16 3" xfId="167"/>
    <cellStyle name="Normal 16 4" xfId="280"/>
    <cellStyle name="Normal 16 5" xfId="394"/>
    <cellStyle name="Normal 16 6" xfId="505"/>
    <cellStyle name="Normal 16 7" xfId="617"/>
    <cellStyle name="Normal 16 8" xfId="728"/>
    <cellStyle name="Normal 16 9" xfId="842"/>
    <cellStyle name="Normal 17" xfId="54"/>
    <cellStyle name="Normal 17 10" xfId="954"/>
    <cellStyle name="Normal 17 11" xfId="1064"/>
    <cellStyle name="Normal 17 2" xfId="117"/>
    <cellStyle name="Normal 17 2 10" xfId="1126"/>
    <cellStyle name="Normal 17 2 2" xfId="231"/>
    <cellStyle name="Normal 17 2 3" xfId="344"/>
    <cellStyle name="Normal 17 2 4" xfId="457"/>
    <cellStyle name="Normal 17 2 5" xfId="568"/>
    <cellStyle name="Normal 17 2 6" xfId="680"/>
    <cellStyle name="Normal 17 2 7" xfId="791"/>
    <cellStyle name="Normal 17 2 8" xfId="904"/>
    <cellStyle name="Normal 17 2 9" xfId="1015"/>
    <cellStyle name="Normal 17 3" xfId="168"/>
    <cellStyle name="Normal 17 4" xfId="281"/>
    <cellStyle name="Normal 17 5" xfId="395"/>
    <cellStyle name="Normal 17 6" xfId="506"/>
    <cellStyle name="Normal 17 7" xfId="618"/>
    <cellStyle name="Normal 17 8" xfId="729"/>
    <cellStyle name="Normal 17 9" xfId="843"/>
    <cellStyle name="Normal 18" xfId="55"/>
    <cellStyle name="Normal 18 10" xfId="955"/>
    <cellStyle name="Normal 18 11" xfId="1065"/>
    <cellStyle name="Normal 18 2" xfId="118"/>
    <cellStyle name="Normal 18 2 10" xfId="1127"/>
    <cellStyle name="Normal 18 2 2" xfId="232"/>
    <cellStyle name="Normal 18 2 3" xfId="345"/>
    <cellStyle name="Normal 18 2 4" xfId="458"/>
    <cellStyle name="Normal 18 2 5" xfId="569"/>
    <cellStyle name="Normal 18 2 6" xfId="681"/>
    <cellStyle name="Normal 18 2 7" xfId="792"/>
    <cellStyle name="Normal 18 2 8" xfId="905"/>
    <cellStyle name="Normal 18 2 9" xfId="1016"/>
    <cellStyle name="Normal 18 3" xfId="169"/>
    <cellStyle name="Normal 18 4" xfId="282"/>
    <cellStyle name="Normal 18 5" xfId="396"/>
    <cellStyle name="Normal 18 6" xfId="507"/>
    <cellStyle name="Normal 18 7" xfId="619"/>
    <cellStyle name="Normal 18 8" xfId="730"/>
    <cellStyle name="Normal 18 9" xfId="844"/>
    <cellStyle name="Normal 19" xfId="60"/>
    <cellStyle name="Normal 19 10" xfId="1069"/>
    <cellStyle name="Normal 19 2" xfId="174"/>
    <cellStyle name="Normal 19 3" xfId="287"/>
    <cellStyle name="Normal 19 4" xfId="400"/>
    <cellStyle name="Normal 19 5" xfId="511"/>
    <cellStyle name="Normal 19 6" xfId="623"/>
    <cellStyle name="Normal 19 7" xfId="734"/>
    <cellStyle name="Normal 19 8" xfId="847"/>
    <cellStyle name="Normal 19 9" xfId="958"/>
    <cellStyle name="Normal 2" xfId="1"/>
    <cellStyle name="Normal 2 2" xfId="50"/>
    <cellStyle name="Normal 2 3" xfId="6"/>
    <cellStyle name="Normal 20" xfId="61"/>
    <cellStyle name="Normal 20 10" xfId="1070"/>
    <cellStyle name="Normal 20 2" xfId="175"/>
    <cellStyle name="Normal 20 3" xfId="288"/>
    <cellStyle name="Normal 20 4" xfId="401"/>
    <cellStyle name="Normal 20 5" xfId="512"/>
    <cellStyle name="Normal 20 6" xfId="624"/>
    <cellStyle name="Normal 20 7" xfId="735"/>
    <cellStyle name="Normal 20 8" xfId="848"/>
    <cellStyle name="Normal 20 9" xfId="959"/>
    <cellStyle name="Normal 21" xfId="62"/>
    <cellStyle name="Normal 21 10" xfId="1071"/>
    <cellStyle name="Normal 21 2" xfId="176"/>
    <cellStyle name="Normal 21 3" xfId="289"/>
    <cellStyle name="Normal 21 4" xfId="402"/>
    <cellStyle name="Normal 21 5" xfId="513"/>
    <cellStyle name="Normal 21 6" xfId="625"/>
    <cellStyle name="Normal 21 7" xfId="736"/>
    <cellStyle name="Normal 21 8" xfId="849"/>
    <cellStyle name="Normal 21 9" xfId="960"/>
    <cellStyle name="Normal 22" xfId="57"/>
    <cellStyle name="Normal 22 10" xfId="398"/>
    <cellStyle name="Normal 22 11" xfId="509"/>
    <cellStyle name="Normal 22 12" xfId="621"/>
    <cellStyle name="Normal 22 13" xfId="732"/>
    <cellStyle name="Normal 22 14" xfId="846"/>
    <cellStyle name="Normal 22 15" xfId="957"/>
    <cellStyle name="Normal 22 16" xfId="1067"/>
    <cellStyle name="Normal 22 2" xfId="65"/>
    <cellStyle name="Normal 22 2 10" xfId="1074"/>
    <cellStyle name="Normal 22 2 2" xfId="179"/>
    <cellStyle name="Normal 22 2 3" xfId="292"/>
    <cellStyle name="Normal 22 2 4" xfId="405"/>
    <cellStyle name="Normal 22 2 5" xfId="516"/>
    <cellStyle name="Normal 22 2 6" xfId="628"/>
    <cellStyle name="Normal 22 2 7" xfId="739"/>
    <cellStyle name="Normal 22 2 8" xfId="852"/>
    <cellStyle name="Normal 22 2 9" xfId="963"/>
    <cellStyle name="Normal 22 3" xfId="71"/>
    <cellStyle name="Normal 22 3 10" xfId="1080"/>
    <cellStyle name="Normal 22 3 2" xfId="185"/>
    <cellStyle name="Normal 22 3 3" xfId="298"/>
    <cellStyle name="Normal 22 3 4" xfId="411"/>
    <cellStyle name="Normal 22 3 5" xfId="522"/>
    <cellStyle name="Normal 22 3 6" xfId="634"/>
    <cellStyle name="Normal 22 3 7" xfId="745"/>
    <cellStyle name="Normal 22 3 8" xfId="858"/>
    <cellStyle name="Normal 22 3 9" xfId="969"/>
    <cellStyle name="Normal 22 4" xfId="75"/>
    <cellStyle name="Normal 22 4 10" xfId="1084"/>
    <cellStyle name="Normal 22 4 2" xfId="189"/>
    <cellStyle name="Normal 22 4 3" xfId="302"/>
    <cellStyle name="Normal 22 4 4" xfId="415"/>
    <cellStyle name="Normal 22 4 5" xfId="526"/>
    <cellStyle name="Normal 22 4 6" xfId="638"/>
    <cellStyle name="Normal 22 4 7" xfId="749"/>
    <cellStyle name="Normal 22 4 8" xfId="862"/>
    <cellStyle name="Normal 22 4 9" xfId="973"/>
    <cellStyle name="Normal 22 5" xfId="77"/>
    <cellStyle name="Normal 22 5 10" xfId="1086"/>
    <cellStyle name="Normal 22 5 2" xfId="191"/>
    <cellStyle name="Normal 22 5 3" xfId="304"/>
    <cellStyle name="Normal 22 5 4" xfId="417"/>
    <cellStyle name="Normal 22 5 5" xfId="528"/>
    <cellStyle name="Normal 22 5 6" xfId="640"/>
    <cellStyle name="Normal 22 5 7" xfId="751"/>
    <cellStyle name="Normal 22 5 8" xfId="864"/>
    <cellStyle name="Normal 22 5 9" xfId="975"/>
    <cellStyle name="Normal 22 6" xfId="120"/>
    <cellStyle name="Normal 22 6 10" xfId="1129"/>
    <cellStyle name="Normal 22 6 2" xfId="234"/>
    <cellStyle name="Normal 22 6 3" xfId="347"/>
    <cellStyle name="Normal 22 6 4" xfId="460"/>
    <cellStyle name="Normal 22 6 5" xfId="571"/>
    <cellStyle name="Normal 22 6 6" xfId="683"/>
    <cellStyle name="Normal 22 6 7" xfId="794"/>
    <cellStyle name="Normal 22 6 8" xfId="907"/>
    <cellStyle name="Normal 22 6 9" xfId="1018"/>
    <cellStyle name="Normal 22 7" xfId="122"/>
    <cellStyle name="Normal 22 7 10" xfId="1131"/>
    <cellStyle name="Normal 22 7 2" xfId="236"/>
    <cellStyle name="Normal 22 7 3" xfId="349"/>
    <cellStyle name="Normal 22 7 4" xfId="462"/>
    <cellStyle name="Normal 22 7 5" xfId="573"/>
    <cellStyle name="Normal 22 7 6" xfId="685"/>
    <cellStyle name="Normal 22 7 7" xfId="796"/>
    <cellStyle name="Normal 22 7 8" xfId="909"/>
    <cellStyle name="Normal 22 7 9" xfId="1020"/>
    <cellStyle name="Normal 22 8" xfId="171"/>
    <cellStyle name="Normal 22 9" xfId="284"/>
    <cellStyle name="Normal 23" xfId="63"/>
    <cellStyle name="Normal 23 10" xfId="1072"/>
    <cellStyle name="Normal 23 2" xfId="177"/>
    <cellStyle name="Normal 23 3" xfId="290"/>
    <cellStyle name="Normal 23 4" xfId="403"/>
    <cellStyle name="Normal 23 5" xfId="514"/>
    <cellStyle name="Normal 23 6" xfId="626"/>
    <cellStyle name="Normal 23 7" xfId="737"/>
    <cellStyle name="Normal 23 8" xfId="850"/>
    <cellStyle name="Normal 23 9" xfId="961"/>
    <cellStyle name="Normal 24" xfId="64"/>
    <cellStyle name="Normal 24 10" xfId="1073"/>
    <cellStyle name="Normal 24 2" xfId="178"/>
    <cellStyle name="Normal 24 3" xfId="291"/>
    <cellStyle name="Normal 24 4" xfId="404"/>
    <cellStyle name="Normal 24 5" xfId="515"/>
    <cellStyle name="Normal 24 6" xfId="627"/>
    <cellStyle name="Normal 24 7" xfId="738"/>
    <cellStyle name="Normal 24 8" xfId="851"/>
    <cellStyle name="Normal 24 9" xfId="962"/>
    <cellStyle name="Normal 25" xfId="56"/>
    <cellStyle name="Normal 25 10" xfId="956"/>
    <cellStyle name="Normal 25 11" xfId="1066"/>
    <cellStyle name="Normal 25 2" xfId="119"/>
    <cellStyle name="Normal 25 2 10" xfId="1128"/>
    <cellStyle name="Normal 25 2 2" xfId="233"/>
    <cellStyle name="Normal 25 2 3" xfId="346"/>
    <cellStyle name="Normal 25 2 4" xfId="459"/>
    <cellStyle name="Normal 25 2 5" xfId="570"/>
    <cellStyle name="Normal 25 2 6" xfId="682"/>
    <cellStyle name="Normal 25 2 7" xfId="793"/>
    <cellStyle name="Normal 25 2 8" xfId="906"/>
    <cellStyle name="Normal 25 2 9" xfId="1017"/>
    <cellStyle name="Normal 25 3" xfId="170"/>
    <cellStyle name="Normal 25 4" xfId="283"/>
    <cellStyle name="Normal 25 5" xfId="397"/>
    <cellStyle name="Normal 25 6" xfId="508"/>
    <cellStyle name="Normal 25 7" xfId="620"/>
    <cellStyle name="Normal 25 8" xfId="731"/>
    <cellStyle name="Normal 25 9" xfId="845"/>
    <cellStyle name="Normal 26" xfId="66"/>
    <cellStyle name="Normal 26 10" xfId="1075"/>
    <cellStyle name="Normal 26 2" xfId="180"/>
    <cellStyle name="Normal 26 3" xfId="293"/>
    <cellStyle name="Normal 26 4" xfId="406"/>
    <cellStyle name="Normal 26 5" xfId="517"/>
    <cellStyle name="Normal 26 6" xfId="629"/>
    <cellStyle name="Normal 26 7" xfId="740"/>
    <cellStyle name="Normal 26 8" xfId="853"/>
    <cellStyle name="Normal 26 9" xfId="964"/>
    <cellStyle name="Normal 27" xfId="67"/>
    <cellStyle name="Normal 27 10" xfId="1076"/>
    <cellStyle name="Normal 27 2" xfId="181"/>
    <cellStyle name="Normal 27 3" xfId="294"/>
    <cellStyle name="Normal 27 4" xfId="407"/>
    <cellStyle name="Normal 27 5" xfId="518"/>
    <cellStyle name="Normal 27 6" xfId="630"/>
    <cellStyle name="Normal 27 7" xfId="741"/>
    <cellStyle name="Normal 27 8" xfId="854"/>
    <cellStyle name="Normal 27 9" xfId="965"/>
    <cellStyle name="Normal 28" xfId="68"/>
    <cellStyle name="Normal 28 10" xfId="1077"/>
    <cellStyle name="Normal 28 2" xfId="182"/>
    <cellStyle name="Normal 28 3" xfId="295"/>
    <cellStyle name="Normal 28 4" xfId="408"/>
    <cellStyle name="Normal 28 5" xfId="519"/>
    <cellStyle name="Normal 28 6" xfId="631"/>
    <cellStyle name="Normal 28 7" xfId="742"/>
    <cellStyle name="Normal 28 8" xfId="855"/>
    <cellStyle name="Normal 28 9" xfId="966"/>
    <cellStyle name="Normal 29" xfId="69"/>
    <cellStyle name="Normal 29 10" xfId="1078"/>
    <cellStyle name="Normal 29 2" xfId="183"/>
    <cellStyle name="Normal 29 3" xfId="296"/>
    <cellStyle name="Normal 29 4" xfId="409"/>
    <cellStyle name="Normal 29 5" xfId="520"/>
    <cellStyle name="Normal 29 6" xfId="632"/>
    <cellStyle name="Normal 29 7" xfId="743"/>
    <cellStyle name="Normal 29 8" xfId="856"/>
    <cellStyle name="Normal 29 9" xfId="967"/>
    <cellStyle name="Normal 3" xfId="3"/>
    <cellStyle name="Normal 3 2" xfId="16"/>
    <cellStyle name="Normal 3 2 10" xfId="695"/>
    <cellStyle name="Normal 3 2 11" xfId="809"/>
    <cellStyle name="Normal 3 2 12" xfId="920"/>
    <cellStyle name="Normal 3 2 13" xfId="1030"/>
    <cellStyle name="Normal 3 2 2" xfId="23"/>
    <cellStyle name="Normal 3 2 2 10" xfId="816"/>
    <cellStyle name="Normal 3 2 2 11" xfId="927"/>
    <cellStyle name="Normal 3 2 2 12" xfId="1037"/>
    <cellStyle name="Normal 3 2 2 2" xfId="37"/>
    <cellStyle name="Normal 3 2 2 2 10" xfId="941"/>
    <cellStyle name="Normal 3 2 2 2 11" xfId="1051"/>
    <cellStyle name="Normal 3 2 2 2 2" xfId="104"/>
    <cellStyle name="Normal 3 2 2 2 2 10" xfId="1113"/>
    <cellStyle name="Normal 3 2 2 2 2 2" xfId="218"/>
    <cellStyle name="Normal 3 2 2 2 2 3" xfId="331"/>
    <cellStyle name="Normal 3 2 2 2 2 4" xfId="444"/>
    <cellStyle name="Normal 3 2 2 2 2 5" xfId="555"/>
    <cellStyle name="Normal 3 2 2 2 2 6" xfId="667"/>
    <cellStyle name="Normal 3 2 2 2 2 7" xfId="778"/>
    <cellStyle name="Normal 3 2 2 2 2 8" xfId="891"/>
    <cellStyle name="Normal 3 2 2 2 2 9" xfId="1002"/>
    <cellStyle name="Normal 3 2 2 2 3" xfId="155"/>
    <cellStyle name="Normal 3 2 2 2 4" xfId="268"/>
    <cellStyle name="Normal 3 2 2 2 5" xfId="382"/>
    <cellStyle name="Normal 3 2 2 2 6" xfId="493"/>
    <cellStyle name="Normal 3 2 2 2 7" xfId="605"/>
    <cellStyle name="Normal 3 2 2 2 8" xfId="716"/>
    <cellStyle name="Normal 3 2 2 2 9" xfId="830"/>
    <cellStyle name="Normal 3 2 2 3" xfId="90"/>
    <cellStyle name="Normal 3 2 2 3 10" xfId="1099"/>
    <cellStyle name="Normal 3 2 2 3 2" xfId="204"/>
    <cellStyle name="Normal 3 2 2 3 3" xfId="317"/>
    <cellStyle name="Normal 3 2 2 3 4" xfId="430"/>
    <cellStyle name="Normal 3 2 2 3 5" xfId="541"/>
    <cellStyle name="Normal 3 2 2 3 6" xfId="653"/>
    <cellStyle name="Normal 3 2 2 3 7" xfId="764"/>
    <cellStyle name="Normal 3 2 2 3 8" xfId="877"/>
    <cellStyle name="Normal 3 2 2 3 9" xfId="988"/>
    <cellStyle name="Normal 3 2 2 4" xfId="141"/>
    <cellStyle name="Normal 3 2 2 5" xfId="254"/>
    <cellStyle name="Normal 3 2 2 6" xfId="368"/>
    <cellStyle name="Normal 3 2 2 7" xfId="479"/>
    <cellStyle name="Normal 3 2 2 8" xfId="591"/>
    <cellStyle name="Normal 3 2 2 9" xfId="702"/>
    <cellStyle name="Normal 3 2 3" xfId="30"/>
    <cellStyle name="Normal 3 2 3 10" xfId="934"/>
    <cellStyle name="Normal 3 2 3 11" xfId="1044"/>
    <cellStyle name="Normal 3 2 3 2" xfId="97"/>
    <cellStyle name="Normal 3 2 3 2 10" xfId="1106"/>
    <cellStyle name="Normal 3 2 3 2 2" xfId="211"/>
    <cellStyle name="Normal 3 2 3 2 3" xfId="324"/>
    <cellStyle name="Normal 3 2 3 2 4" xfId="437"/>
    <cellStyle name="Normal 3 2 3 2 5" xfId="548"/>
    <cellStyle name="Normal 3 2 3 2 6" xfId="660"/>
    <cellStyle name="Normal 3 2 3 2 7" xfId="771"/>
    <cellStyle name="Normal 3 2 3 2 8" xfId="884"/>
    <cellStyle name="Normal 3 2 3 2 9" xfId="995"/>
    <cellStyle name="Normal 3 2 3 3" xfId="148"/>
    <cellStyle name="Normal 3 2 3 4" xfId="261"/>
    <cellStyle name="Normal 3 2 3 5" xfId="375"/>
    <cellStyle name="Normal 3 2 3 6" xfId="486"/>
    <cellStyle name="Normal 3 2 3 7" xfId="598"/>
    <cellStyle name="Normal 3 2 3 8" xfId="709"/>
    <cellStyle name="Normal 3 2 3 9" xfId="823"/>
    <cellStyle name="Normal 3 2 4" xfId="83"/>
    <cellStyle name="Normal 3 2 4 10" xfId="1092"/>
    <cellStyle name="Normal 3 2 4 2" xfId="197"/>
    <cellStyle name="Normal 3 2 4 3" xfId="310"/>
    <cellStyle name="Normal 3 2 4 4" xfId="423"/>
    <cellStyle name="Normal 3 2 4 5" xfId="534"/>
    <cellStyle name="Normal 3 2 4 6" xfId="646"/>
    <cellStyle name="Normal 3 2 4 7" xfId="757"/>
    <cellStyle name="Normal 3 2 4 8" xfId="870"/>
    <cellStyle name="Normal 3 2 4 9" xfId="981"/>
    <cellStyle name="Normal 3 2 5" xfId="134"/>
    <cellStyle name="Normal 3 2 6" xfId="247"/>
    <cellStyle name="Normal 3 2 7" xfId="361"/>
    <cellStyle name="Normal 3 2 8" xfId="472"/>
    <cellStyle name="Normal 3 2 9" xfId="584"/>
    <cellStyle name="Normal 3 3" xfId="18"/>
    <cellStyle name="Normal 3 3 10" xfId="697"/>
    <cellStyle name="Normal 3 3 11" xfId="811"/>
    <cellStyle name="Normal 3 3 12" xfId="922"/>
    <cellStyle name="Normal 3 3 13" xfId="1032"/>
    <cellStyle name="Normal 3 3 2" xfId="25"/>
    <cellStyle name="Normal 3 3 2 10" xfId="818"/>
    <cellStyle name="Normal 3 3 2 11" xfId="929"/>
    <cellStyle name="Normal 3 3 2 12" xfId="1039"/>
    <cellStyle name="Normal 3 3 2 2" xfId="39"/>
    <cellStyle name="Normal 3 3 2 2 10" xfId="943"/>
    <cellStyle name="Normal 3 3 2 2 11" xfId="1053"/>
    <cellStyle name="Normal 3 3 2 2 2" xfId="106"/>
    <cellStyle name="Normal 3 3 2 2 2 10" xfId="1115"/>
    <cellStyle name="Normal 3 3 2 2 2 2" xfId="220"/>
    <cellStyle name="Normal 3 3 2 2 2 3" xfId="333"/>
    <cellStyle name="Normal 3 3 2 2 2 4" xfId="446"/>
    <cellStyle name="Normal 3 3 2 2 2 5" xfId="557"/>
    <cellStyle name="Normal 3 3 2 2 2 6" xfId="669"/>
    <cellStyle name="Normal 3 3 2 2 2 7" xfId="780"/>
    <cellStyle name="Normal 3 3 2 2 2 8" xfId="893"/>
    <cellStyle name="Normal 3 3 2 2 2 9" xfId="1004"/>
    <cellStyle name="Normal 3 3 2 2 3" xfId="157"/>
    <cellStyle name="Normal 3 3 2 2 4" xfId="270"/>
    <cellStyle name="Normal 3 3 2 2 5" xfId="384"/>
    <cellStyle name="Normal 3 3 2 2 6" xfId="495"/>
    <cellStyle name="Normal 3 3 2 2 7" xfId="607"/>
    <cellStyle name="Normal 3 3 2 2 8" xfId="718"/>
    <cellStyle name="Normal 3 3 2 2 9" xfId="832"/>
    <cellStyle name="Normal 3 3 2 3" xfId="92"/>
    <cellStyle name="Normal 3 3 2 3 10" xfId="1101"/>
    <cellStyle name="Normal 3 3 2 3 2" xfId="206"/>
    <cellStyle name="Normal 3 3 2 3 3" xfId="319"/>
    <cellStyle name="Normal 3 3 2 3 4" xfId="432"/>
    <cellStyle name="Normal 3 3 2 3 5" xfId="543"/>
    <cellStyle name="Normal 3 3 2 3 6" xfId="655"/>
    <cellStyle name="Normal 3 3 2 3 7" xfId="766"/>
    <cellStyle name="Normal 3 3 2 3 8" xfId="879"/>
    <cellStyle name="Normal 3 3 2 3 9" xfId="990"/>
    <cellStyle name="Normal 3 3 2 4" xfId="143"/>
    <cellStyle name="Normal 3 3 2 5" xfId="256"/>
    <cellStyle name="Normal 3 3 2 6" xfId="370"/>
    <cellStyle name="Normal 3 3 2 7" xfId="481"/>
    <cellStyle name="Normal 3 3 2 8" xfId="593"/>
    <cellStyle name="Normal 3 3 2 9" xfId="704"/>
    <cellStyle name="Normal 3 3 3" xfId="32"/>
    <cellStyle name="Normal 3 3 3 10" xfId="936"/>
    <cellStyle name="Normal 3 3 3 11" xfId="1046"/>
    <cellStyle name="Normal 3 3 3 2" xfId="99"/>
    <cellStyle name="Normal 3 3 3 2 10" xfId="1108"/>
    <cellStyle name="Normal 3 3 3 2 2" xfId="213"/>
    <cellStyle name="Normal 3 3 3 2 3" xfId="326"/>
    <cellStyle name="Normal 3 3 3 2 4" xfId="439"/>
    <cellStyle name="Normal 3 3 3 2 5" xfId="550"/>
    <cellStyle name="Normal 3 3 3 2 6" xfId="662"/>
    <cellStyle name="Normal 3 3 3 2 7" xfId="773"/>
    <cellStyle name="Normal 3 3 3 2 8" xfId="886"/>
    <cellStyle name="Normal 3 3 3 2 9" xfId="997"/>
    <cellStyle name="Normal 3 3 3 3" xfId="150"/>
    <cellStyle name="Normal 3 3 3 4" xfId="263"/>
    <cellStyle name="Normal 3 3 3 5" xfId="377"/>
    <cellStyle name="Normal 3 3 3 6" xfId="488"/>
    <cellStyle name="Normal 3 3 3 7" xfId="600"/>
    <cellStyle name="Normal 3 3 3 8" xfId="711"/>
    <cellStyle name="Normal 3 3 3 9" xfId="825"/>
    <cellStyle name="Normal 3 3 4" xfId="85"/>
    <cellStyle name="Normal 3 3 4 10" xfId="1094"/>
    <cellStyle name="Normal 3 3 4 2" xfId="199"/>
    <cellStyle name="Normal 3 3 4 3" xfId="312"/>
    <cellStyle name="Normal 3 3 4 4" xfId="425"/>
    <cellStyle name="Normal 3 3 4 5" xfId="536"/>
    <cellStyle name="Normal 3 3 4 6" xfId="648"/>
    <cellStyle name="Normal 3 3 4 7" xfId="759"/>
    <cellStyle name="Normal 3 3 4 8" xfId="872"/>
    <cellStyle name="Normal 3 3 4 9" xfId="983"/>
    <cellStyle name="Normal 3 3 5" xfId="136"/>
    <cellStyle name="Normal 3 3 6" xfId="249"/>
    <cellStyle name="Normal 3 3 7" xfId="363"/>
    <cellStyle name="Normal 3 3 8" xfId="474"/>
    <cellStyle name="Normal 3 3 9" xfId="586"/>
    <cellStyle name="Normal 3 4" xfId="20"/>
    <cellStyle name="Normal 3 4 10" xfId="813"/>
    <cellStyle name="Normal 3 4 11" xfId="924"/>
    <cellStyle name="Normal 3 4 12" xfId="1034"/>
    <cellStyle name="Normal 3 4 2" xfId="34"/>
    <cellStyle name="Normal 3 4 2 10" xfId="938"/>
    <cellStyle name="Normal 3 4 2 11" xfId="1048"/>
    <cellStyle name="Normal 3 4 2 2" xfId="101"/>
    <cellStyle name="Normal 3 4 2 2 10" xfId="1110"/>
    <cellStyle name="Normal 3 4 2 2 2" xfId="215"/>
    <cellStyle name="Normal 3 4 2 2 3" xfId="328"/>
    <cellStyle name="Normal 3 4 2 2 4" xfId="441"/>
    <cellStyle name="Normal 3 4 2 2 5" xfId="552"/>
    <cellStyle name="Normal 3 4 2 2 6" xfId="664"/>
    <cellStyle name="Normal 3 4 2 2 7" xfId="775"/>
    <cellStyle name="Normal 3 4 2 2 8" xfId="888"/>
    <cellStyle name="Normal 3 4 2 2 9" xfId="999"/>
    <cellStyle name="Normal 3 4 2 3" xfId="152"/>
    <cellStyle name="Normal 3 4 2 4" xfId="265"/>
    <cellStyle name="Normal 3 4 2 5" xfId="379"/>
    <cellStyle name="Normal 3 4 2 6" xfId="490"/>
    <cellStyle name="Normal 3 4 2 7" xfId="602"/>
    <cellStyle name="Normal 3 4 2 8" xfId="713"/>
    <cellStyle name="Normal 3 4 2 9" xfId="827"/>
    <cellStyle name="Normal 3 4 3" xfId="87"/>
    <cellStyle name="Normal 3 4 3 10" xfId="1096"/>
    <cellStyle name="Normal 3 4 3 2" xfId="201"/>
    <cellStyle name="Normal 3 4 3 3" xfId="314"/>
    <cellStyle name="Normal 3 4 3 4" xfId="427"/>
    <cellStyle name="Normal 3 4 3 5" xfId="538"/>
    <cellStyle name="Normal 3 4 3 6" xfId="650"/>
    <cellStyle name="Normal 3 4 3 7" xfId="761"/>
    <cellStyle name="Normal 3 4 3 8" xfId="874"/>
    <cellStyle name="Normal 3 4 3 9" xfId="985"/>
    <cellStyle name="Normal 3 4 4" xfId="138"/>
    <cellStyle name="Normal 3 4 5" xfId="251"/>
    <cellStyle name="Normal 3 4 6" xfId="365"/>
    <cellStyle name="Normal 3 4 7" xfId="476"/>
    <cellStyle name="Normal 3 4 8" xfId="588"/>
    <cellStyle name="Normal 3 4 9" xfId="699"/>
    <cellStyle name="Normal 3 5" xfId="27"/>
    <cellStyle name="Normal 3 5 10" xfId="931"/>
    <cellStyle name="Normal 3 5 11" xfId="1041"/>
    <cellStyle name="Normal 3 5 2" xfId="94"/>
    <cellStyle name="Normal 3 5 2 10" xfId="1103"/>
    <cellStyle name="Normal 3 5 2 2" xfId="208"/>
    <cellStyle name="Normal 3 5 2 3" xfId="321"/>
    <cellStyle name="Normal 3 5 2 4" xfId="434"/>
    <cellStyle name="Normal 3 5 2 5" xfId="545"/>
    <cellStyle name="Normal 3 5 2 6" xfId="657"/>
    <cellStyle name="Normal 3 5 2 7" xfId="768"/>
    <cellStyle name="Normal 3 5 2 8" xfId="881"/>
    <cellStyle name="Normal 3 5 2 9" xfId="992"/>
    <cellStyle name="Normal 3 5 3" xfId="145"/>
    <cellStyle name="Normal 3 5 4" xfId="258"/>
    <cellStyle name="Normal 3 5 5" xfId="372"/>
    <cellStyle name="Normal 3 5 6" xfId="483"/>
    <cellStyle name="Normal 3 5 7" xfId="595"/>
    <cellStyle name="Normal 3 5 8" xfId="706"/>
    <cellStyle name="Normal 3 5 9" xfId="820"/>
    <cellStyle name="Normal 3 6" xfId="52"/>
    <cellStyle name="Normal 3 7" xfId="10"/>
    <cellStyle name="Normal 3 7 10" xfId="917"/>
    <cellStyle name="Normal 3 7 11" xfId="1027"/>
    <cellStyle name="Normal 3 7 2" xfId="80"/>
    <cellStyle name="Normal 3 7 2 10" xfId="1089"/>
    <cellStyle name="Normal 3 7 2 2" xfId="194"/>
    <cellStyle name="Normal 3 7 2 3" xfId="307"/>
    <cellStyle name="Normal 3 7 2 4" xfId="420"/>
    <cellStyle name="Normal 3 7 2 5" xfId="531"/>
    <cellStyle name="Normal 3 7 2 6" xfId="643"/>
    <cellStyle name="Normal 3 7 2 7" xfId="754"/>
    <cellStyle name="Normal 3 7 2 8" xfId="867"/>
    <cellStyle name="Normal 3 7 2 9" xfId="978"/>
    <cellStyle name="Normal 3 7 3" xfId="131"/>
    <cellStyle name="Normal 3 7 4" xfId="244"/>
    <cellStyle name="Normal 3 7 5" xfId="358"/>
    <cellStyle name="Normal 3 7 6" xfId="469"/>
    <cellStyle name="Normal 3 7 7" xfId="581"/>
    <cellStyle name="Normal 3 7 8" xfId="692"/>
    <cellStyle name="Normal 3 7 9" xfId="806"/>
    <cellStyle name="Normal 3 8" xfId="72"/>
    <cellStyle name="Normal 3 8 10" xfId="1081"/>
    <cellStyle name="Normal 3 8 2" xfId="186"/>
    <cellStyle name="Normal 3 8 3" xfId="299"/>
    <cellStyle name="Normal 3 8 4" xfId="412"/>
    <cellStyle name="Normal 3 8 5" xfId="523"/>
    <cellStyle name="Normal 3 8 6" xfId="635"/>
    <cellStyle name="Normal 3 8 7" xfId="746"/>
    <cellStyle name="Normal 3 8 8" xfId="859"/>
    <cellStyle name="Normal 3 8 9" xfId="970"/>
    <cellStyle name="Normal 3 9" xfId="803"/>
    <cellStyle name="Normal 30" xfId="70"/>
    <cellStyle name="Normal 30 10" xfId="1079"/>
    <cellStyle name="Normal 30 2" xfId="184"/>
    <cellStyle name="Normal 30 3" xfId="297"/>
    <cellStyle name="Normal 30 4" xfId="410"/>
    <cellStyle name="Normal 30 5" xfId="521"/>
    <cellStyle name="Normal 30 6" xfId="633"/>
    <cellStyle name="Normal 30 7" xfId="744"/>
    <cellStyle name="Normal 30 8" xfId="857"/>
    <cellStyle name="Normal 30 9" xfId="968"/>
    <cellStyle name="Normal 31" xfId="73"/>
    <cellStyle name="Normal 31 10" xfId="1082"/>
    <cellStyle name="Normal 31 2" xfId="187"/>
    <cellStyle name="Normal 31 3" xfId="300"/>
    <cellStyle name="Normal 31 4" xfId="413"/>
    <cellStyle name="Normal 31 5" xfId="524"/>
    <cellStyle name="Normal 31 6" xfId="636"/>
    <cellStyle name="Normal 31 7" xfId="747"/>
    <cellStyle name="Normal 31 8" xfId="860"/>
    <cellStyle name="Normal 31 9" xfId="971"/>
    <cellStyle name="Normal 32" xfId="74"/>
    <cellStyle name="Normal 32 10" xfId="1083"/>
    <cellStyle name="Normal 32 2" xfId="188"/>
    <cellStyle name="Normal 32 3" xfId="301"/>
    <cellStyle name="Normal 32 4" xfId="414"/>
    <cellStyle name="Normal 32 5" xfId="525"/>
    <cellStyle name="Normal 32 6" xfId="637"/>
    <cellStyle name="Normal 32 7" xfId="748"/>
    <cellStyle name="Normal 32 8" xfId="861"/>
    <cellStyle name="Normal 32 9" xfId="972"/>
    <cellStyle name="Normal 33" xfId="76"/>
    <cellStyle name="Normal 33 10" xfId="1085"/>
    <cellStyle name="Normal 33 2" xfId="190"/>
    <cellStyle name="Normal 33 3" xfId="303"/>
    <cellStyle name="Normal 33 4" xfId="416"/>
    <cellStyle name="Normal 33 5" xfId="527"/>
    <cellStyle name="Normal 33 6" xfId="639"/>
    <cellStyle name="Normal 33 7" xfId="750"/>
    <cellStyle name="Normal 33 8" xfId="863"/>
    <cellStyle name="Normal 33 9" xfId="974"/>
    <cellStyle name="Normal 34" xfId="78"/>
    <cellStyle name="Normal 34 10" xfId="1087"/>
    <cellStyle name="Normal 34 2" xfId="192"/>
    <cellStyle name="Normal 34 3" xfId="305"/>
    <cellStyle name="Normal 34 4" xfId="418"/>
    <cellStyle name="Normal 34 5" xfId="529"/>
    <cellStyle name="Normal 34 6" xfId="641"/>
    <cellStyle name="Normal 34 7" xfId="752"/>
    <cellStyle name="Normal 34 8" xfId="865"/>
    <cellStyle name="Normal 34 9" xfId="976"/>
    <cellStyle name="Normal 35" xfId="121"/>
    <cellStyle name="Normal 35 10" xfId="1130"/>
    <cellStyle name="Normal 35 2" xfId="235"/>
    <cellStyle name="Normal 35 3" xfId="348"/>
    <cellStyle name="Normal 35 4" xfId="461"/>
    <cellStyle name="Normal 35 5" xfId="572"/>
    <cellStyle name="Normal 35 6" xfId="684"/>
    <cellStyle name="Normal 35 7" xfId="795"/>
    <cellStyle name="Normal 35 8" xfId="908"/>
    <cellStyle name="Normal 35 9" xfId="1019"/>
    <cellStyle name="Normal 36" xfId="125"/>
    <cellStyle name="Normal 36 10" xfId="1134"/>
    <cellStyle name="Normal 36 2" xfId="239"/>
    <cellStyle name="Normal 36 3" xfId="352"/>
    <cellStyle name="Normal 36 4" xfId="465"/>
    <cellStyle name="Normal 36 5" xfId="576"/>
    <cellStyle name="Normal 36 6" xfId="688"/>
    <cellStyle name="Normal 36 7" xfId="799"/>
    <cellStyle name="Normal 36 8" xfId="912"/>
    <cellStyle name="Normal 36 9" xfId="1023"/>
    <cellStyle name="Normal 37" xfId="123"/>
    <cellStyle name="Normal 37 10" xfId="1132"/>
    <cellStyle name="Normal 37 2" xfId="237"/>
    <cellStyle name="Normal 37 3" xfId="350"/>
    <cellStyle name="Normal 37 4" xfId="463"/>
    <cellStyle name="Normal 37 5" xfId="574"/>
    <cellStyle name="Normal 37 6" xfId="686"/>
    <cellStyle name="Normal 37 7" xfId="797"/>
    <cellStyle name="Normal 37 8" xfId="910"/>
    <cellStyle name="Normal 37 9" xfId="1021"/>
    <cellStyle name="Normal 38" xfId="124"/>
    <cellStyle name="Normal 38 10" xfId="1133"/>
    <cellStyle name="Normal 38 2" xfId="238"/>
    <cellStyle name="Normal 38 3" xfId="351"/>
    <cellStyle name="Normal 38 4" xfId="464"/>
    <cellStyle name="Normal 38 5" xfId="575"/>
    <cellStyle name="Normal 38 6" xfId="687"/>
    <cellStyle name="Normal 38 7" xfId="798"/>
    <cellStyle name="Normal 38 8" xfId="911"/>
    <cellStyle name="Normal 38 9" xfId="1022"/>
    <cellStyle name="Normal 39" xfId="126"/>
    <cellStyle name="Normal 39 10" xfId="1135"/>
    <cellStyle name="Normal 39 2" xfId="240"/>
    <cellStyle name="Normal 39 3" xfId="353"/>
    <cellStyle name="Normal 39 4" xfId="466"/>
    <cellStyle name="Normal 39 5" xfId="577"/>
    <cellStyle name="Normal 39 6" xfId="689"/>
    <cellStyle name="Normal 39 7" xfId="800"/>
    <cellStyle name="Normal 39 8" xfId="913"/>
    <cellStyle name="Normal 39 9" xfId="1024"/>
    <cellStyle name="Normal 4" xfId="4"/>
    <cellStyle name="Normal 4 2" xfId="12"/>
    <cellStyle name="Normal 4 3" xfId="804"/>
    <cellStyle name="Normal 40" xfId="59"/>
    <cellStyle name="Normal 40 2" xfId="286"/>
    <cellStyle name="Normal 40 3" xfId="173"/>
    <cellStyle name="Normal 41" xfId="129"/>
    <cellStyle name="Normal 42" xfId="242"/>
    <cellStyle name="Normal 43" xfId="355"/>
    <cellStyle name="Normal 44" xfId="356"/>
    <cellStyle name="Normal 45" xfId="467"/>
    <cellStyle name="Normal 46" xfId="578"/>
    <cellStyle name="Normal 47" xfId="579"/>
    <cellStyle name="Normal 48" xfId="690"/>
    <cellStyle name="Normal 49" xfId="801"/>
    <cellStyle name="Normal 5" xfId="5"/>
    <cellStyle name="Normal 5 2" xfId="13"/>
    <cellStyle name="Normal 50" xfId="914"/>
    <cellStyle name="Normal 51" xfId="1025"/>
    <cellStyle name="Normal 52" xfId="128"/>
    <cellStyle name="Normal 6" xfId="41"/>
    <cellStyle name="Normal 6 10" xfId="944"/>
    <cellStyle name="Normal 6 11" xfId="1054"/>
    <cellStyle name="Normal 6 2" xfId="107"/>
    <cellStyle name="Normal 6 2 10" xfId="1116"/>
    <cellStyle name="Normal 6 2 2" xfId="221"/>
    <cellStyle name="Normal 6 2 3" xfId="334"/>
    <cellStyle name="Normal 6 2 4" xfId="447"/>
    <cellStyle name="Normal 6 2 5" xfId="558"/>
    <cellStyle name="Normal 6 2 6" xfId="670"/>
    <cellStyle name="Normal 6 2 7" xfId="781"/>
    <cellStyle name="Normal 6 2 8" xfId="894"/>
    <cellStyle name="Normal 6 2 9" xfId="1005"/>
    <cellStyle name="Normal 6 3" xfId="158"/>
    <cellStyle name="Normal 6 4" xfId="271"/>
    <cellStyle name="Normal 6 5" xfId="385"/>
    <cellStyle name="Normal 6 6" xfId="496"/>
    <cellStyle name="Normal 6 7" xfId="608"/>
    <cellStyle name="Normal 6 8" xfId="719"/>
    <cellStyle name="Normal 6 9" xfId="833"/>
    <cellStyle name="Normal 7" xfId="42"/>
    <cellStyle name="Normal 7 10" xfId="945"/>
    <cellStyle name="Normal 7 11" xfId="1055"/>
    <cellStyle name="Normal 7 2" xfId="108"/>
    <cellStyle name="Normal 7 2 10" xfId="1117"/>
    <cellStyle name="Normal 7 2 2" xfId="222"/>
    <cellStyle name="Normal 7 2 3" xfId="335"/>
    <cellStyle name="Normal 7 2 4" xfId="448"/>
    <cellStyle name="Normal 7 2 5" xfId="559"/>
    <cellStyle name="Normal 7 2 6" xfId="671"/>
    <cellStyle name="Normal 7 2 7" xfId="782"/>
    <cellStyle name="Normal 7 2 8" xfId="895"/>
    <cellStyle name="Normal 7 2 9" xfId="1006"/>
    <cellStyle name="Normal 7 3" xfId="159"/>
    <cellStyle name="Normal 7 4" xfId="272"/>
    <cellStyle name="Normal 7 5" xfId="386"/>
    <cellStyle name="Normal 7 6" xfId="497"/>
    <cellStyle name="Normal 7 7" xfId="609"/>
    <cellStyle name="Normal 7 8" xfId="720"/>
    <cellStyle name="Normal 7 9" xfId="834"/>
    <cellStyle name="Normal 8" xfId="9"/>
    <cellStyle name="Normal 9" xfId="43"/>
    <cellStyle name="Normal 9 10" xfId="946"/>
    <cellStyle name="Normal 9 11" xfId="1056"/>
    <cellStyle name="Normal 9 2" xfId="109"/>
    <cellStyle name="Normal 9 2 10" xfId="1118"/>
    <cellStyle name="Normal 9 2 2" xfId="223"/>
    <cellStyle name="Normal 9 2 3" xfId="336"/>
    <cellStyle name="Normal 9 2 4" xfId="449"/>
    <cellStyle name="Normal 9 2 5" xfId="560"/>
    <cellStyle name="Normal 9 2 6" xfId="672"/>
    <cellStyle name="Normal 9 2 7" xfId="783"/>
    <cellStyle name="Normal 9 2 8" xfId="896"/>
    <cellStyle name="Normal 9 2 9" xfId="1007"/>
    <cellStyle name="Normal 9 3" xfId="160"/>
    <cellStyle name="Normal 9 4" xfId="273"/>
    <cellStyle name="Normal 9 5" xfId="387"/>
    <cellStyle name="Normal 9 6" xfId="498"/>
    <cellStyle name="Normal 9 7" xfId="610"/>
    <cellStyle name="Normal 9 8" xfId="721"/>
    <cellStyle name="Normal 9 9" xfId="835"/>
    <cellStyle name="Style 1" xfId="8"/>
    <cellStyle name="Style 1 10" xfId="580"/>
    <cellStyle name="Style 1 11" xfId="691"/>
    <cellStyle name="Style 1 12" xfId="805"/>
    <cellStyle name="Style 1 13" xfId="916"/>
    <cellStyle name="Style 1 14" xfId="1026"/>
    <cellStyle name="Style 1 2" xfId="15"/>
    <cellStyle name="Style 1 2 10" xfId="694"/>
    <cellStyle name="Style 1 2 11" xfId="808"/>
    <cellStyle name="Style 1 2 12" xfId="919"/>
    <cellStyle name="Style 1 2 13" xfId="1029"/>
    <cellStyle name="Style 1 2 2" xfId="22"/>
    <cellStyle name="Style 1 2 2 10" xfId="815"/>
    <cellStyle name="Style 1 2 2 11" xfId="926"/>
    <cellStyle name="Style 1 2 2 12" xfId="1036"/>
    <cellStyle name="Style 1 2 2 2" xfId="36"/>
    <cellStyle name="Style 1 2 2 2 10" xfId="940"/>
    <cellStyle name="Style 1 2 2 2 11" xfId="1050"/>
    <cellStyle name="Style 1 2 2 2 2" xfId="103"/>
    <cellStyle name="Style 1 2 2 2 2 10" xfId="1112"/>
    <cellStyle name="Style 1 2 2 2 2 2" xfId="217"/>
    <cellStyle name="Style 1 2 2 2 2 3" xfId="330"/>
    <cellStyle name="Style 1 2 2 2 2 4" xfId="443"/>
    <cellStyle name="Style 1 2 2 2 2 5" xfId="554"/>
    <cellStyle name="Style 1 2 2 2 2 6" xfId="666"/>
    <cellStyle name="Style 1 2 2 2 2 7" xfId="777"/>
    <cellStyle name="Style 1 2 2 2 2 8" xfId="890"/>
    <cellStyle name="Style 1 2 2 2 2 9" xfId="1001"/>
    <cellStyle name="Style 1 2 2 2 3" xfId="154"/>
    <cellStyle name="Style 1 2 2 2 4" xfId="267"/>
    <cellStyle name="Style 1 2 2 2 5" xfId="381"/>
    <cellStyle name="Style 1 2 2 2 6" xfId="492"/>
    <cellStyle name="Style 1 2 2 2 7" xfId="604"/>
    <cellStyle name="Style 1 2 2 2 8" xfId="715"/>
    <cellStyle name="Style 1 2 2 2 9" xfId="829"/>
    <cellStyle name="Style 1 2 2 3" xfId="89"/>
    <cellStyle name="Style 1 2 2 3 10" xfId="1098"/>
    <cellStyle name="Style 1 2 2 3 2" xfId="203"/>
    <cellStyle name="Style 1 2 2 3 3" xfId="316"/>
    <cellStyle name="Style 1 2 2 3 4" xfId="429"/>
    <cellStyle name="Style 1 2 2 3 5" xfId="540"/>
    <cellStyle name="Style 1 2 2 3 6" xfId="652"/>
    <cellStyle name="Style 1 2 2 3 7" xfId="763"/>
    <cellStyle name="Style 1 2 2 3 8" xfId="876"/>
    <cellStyle name="Style 1 2 2 3 9" xfId="987"/>
    <cellStyle name="Style 1 2 2 4" xfId="140"/>
    <cellStyle name="Style 1 2 2 5" xfId="253"/>
    <cellStyle name="Style 1 2 2 6" xfId="367"/>
    <cellStyle name="Style 1 2 2 7" xfId="478"/>
    <cellStyle name="Style 1 2 2 8" xfId="590"/>
    <cellStyle name="Style 1 2 2 9" xfId="701"/>
    <cellStyle name="Style 1 2 3" xfId="29"/>
    <cellStyle name="Style 1 2 3 10" xfId="933"/>
    <cellStyle name="Style 1 2 3 11" xfId="1043"/>
    <cellStyle name="Style 1 2 3 2" xfId="96"/>
    <cellStyle name="Style 1 2 3 2 10" xfId="1105"/>
    <cellStyle name="Style 1 2 3 2 2" xfId="210"/>
    <cellStyle name="Style 1 2 3 2 3" xfId="323"/>
    <cellStyle name="Style 1 2 3 2 4" xfId="436"/>
    <cellStyle name="Style 1 2 3 2 5" xfId="547"/>
    <cellStyle name="Style 1 2 3 2 6" xfId="659"/>
    <cellStyle name="Style 1 2 3 2 7" xfId="770"/>
    <cellStyle name="Style 1 2 3 2 8" xfId="883"/>
    <cellStyle name="Style 1 2 3 2 9" xfId="994"/>
    <cellStyle name="Style 1 2 3 3" xfId="147"/>
    <cellStyle name="Style 1 2 3 4" xfId="260"/>
    <cellStyle name="Style 1 2 3 5" xfId="374"/>
    <cellStyle name="Style 1 2 3 6" xfId="485"/>
    <cellStyle name="Style 1 2 3 7" xfId="597"/>
    <cellStyle name="Style 1 2 3 8" xfId="708"/>
    <cellStyle name="Style 1 2 3 9" xfId="822"/>
    <cellStyle name="Style 1 2 4" xfId="82"/>
    <cellStyle name="Style 1 2 4 10" xfId="1091"/>
    <cellStyle name="Style 1 2 4 2" xfId="196"/>
    <cellStyle name="Style 1 2 4 3" xfId="309"/>
    <cellStyle name="Style 1 2 4 4" xfId="422"/>
    <cellStyle name="Style 1 2 4 5" xfId="533"/>
    <cellStyle name="Style 1 2 4 6" xfId="645"/>
    <cellStyle name="Style 1 2 4 7" xfId="756"/>
    <cellStyle name="Style 1 2 4 8" xfId="869"/>
    <cellStyle name="Style 1 2 4 9" xfId="980"/>
    <cellStyle name="Style 1 2 5" xfId="133"/>
    <cellStyle name="Style 1 2 6" xfId="246"/>
    <cellStyle name="Style 1 2 7" xfId="360"/>
    <cellStyle name="Style 1 2 8" xfId="471"/>
    <cellStyle name="Style 1 2 9" xfId="583"/>
    <cellStyle name="Style 1 3" xfId="19"/>
    <cellStyle name="Style 1 3 10" xfId="812"/>
    <cellStyle name="Style 1 3 11" xfId="923"/>
    <cellStyle name="Style 1 3 12" xfId="1033"/>
    <cellStyle name="Style 1 3 2" xfId="33"/>
    <cellStyle name="Style 1 3 2 10" xfId="937"/>
    <cellStyle name="Style 1 3 2 11" xfId="1047"/>
    <cellStyle name="Style 1 3 2 2" xfId="100"/>
    <cellStyle name="Style 1 3 2 2 10" xfId="1109"/>
    <cellStyle name="Style 1 3 2 2 2" xfId="214"/>
    <cellStyle name="Style 1 3 2 2 3" xfId="327"/>
    <cellStyle name="Style 1 3 2 2 4" xfId="440"/>
    <cellStyle name="Style 1 3 2 2 5" xfId="551"/>
    <cellStyle name="Style 1 3 2 2 6" xfId="663"/>
    <cellStyle name="Style 1 3 2 2 7" xfId="774"/>
    <cellStyle name="Style 1 3 2 2 8" xfId="887"/>
    <cellStyle name="Style 1 3 2 2 9" xfId="998"/>
    <cellStyle name="Style 1 3 2 3" xfId="151"/>
    <cellStyle name="Style 1 3 2 4" xfId="264"/>
    <cellStyle name="Style 1 3 2 5" xfId="378"/>
    <cellStyle name="Style 1 3 2 6" xfId="489"/>
    <cellStyle name="Style 1 3 2 7" xfId="601"/>
    <cellStyle name="Style 1 3 2 8" xfId="712"/>
    <cellStyle name="Style 1 3 2 9" xfId="826"/>
    <cellStyle name="Style 1 3 3" xfId="86"/>
    <cellStyle name="Style 1 3 3 10" xfId="1095"/>
    <cellStyle name="Style 1 3 3 2" xfId="200"/>
    <cellStyle name="Style 1 3 3 3" xfId="313"/>
    <cellStyle name="Style 1 3 3 4" xfId="426"/>
    <cellStyle name="Style 1 3 3 5" xfId="537"/>
    <cellStyle name="Style 1 3 3 6" xfId="649"/>
    <cellStyle name="Style 1 3 3 7" xfId="760"/>
    <cellStyle name="Style 1 3 3 8" xfId="873"/>
    <cellStyle name="Style 1 3 3 9" xfId="984"/>
    <cellStyle name="Style 1 3 4" xfId="137"/>
    <cellStyle name="Style 1 3 5" xfId="250"/>
    <cellStyle name="Style 1 3 6" xfId="364"/>
    <cellStyle name="Style 1 3 7" xfId="475"/>
    <cellStyle name="Style 1 3 8" xfId="587"/>
    <cellStyle name="Style 1 3 9" xfId="698"/>
    <cellStyle name="Style 1 4" xfId="26"/>
    <cellStyle name="Style 1 4 10" xfId="930"/>
    <cellStyle name="Style 1 4 11" xfId="1040"/>
    <cellStyle name="Style 1 4 2" xfId="93"/>
    <cellStyle name="Style 1 4 2 10" xfId="1102"/>
    <cellStyle name="Style 1 4 2 2" xfId="207"/>
    <cellStyle name="Style 1 4 2 3" xfId="320"/>
    <cellStyle name="Style 1 4 2 4" xfId="433"/>
    <cellStyle name="Style 1 4 2 5" xfId="544"/>
    <cellStyle name="Style 1 4 2 6" xfId="656"/>
    <cellStyle name="Style 1 4 2 7" xfId="767"/>
    <cellStyle name="Style 1 4 2 8" xfId="880"/>
    <cellStyle name="Style 1 4 2 9" xfId="991"/>
    <cellStyle name="Style 1 4 3" xfId="144"/>
    <cellStyle name="Style 1 4 4" xfId="257"/>
    <cellStyle name="Style 1 4 5" xfId="371"/>
    <cellStyle name="Style 1 4 6" xfId="482"/>
    <cellStyle name="Style 1 4 7" xfId="594"/>
    <cellStyle name="Style 1 4 8" xfId="705"/>
    <cellStyle name="Style 1 4 9" xfId="819"/>
    <cellStyle name="Style 1 5" xfId="79"/>
    <cellStyle name="Style 1 5 10" xfId="1088"/>
    <cellStyle name="Style 1 5 2" xfId="193"/>
    <cellStyle name="Style 1 5 3" xfId="306"/>
    <cellStyle name="Style 1 5 4" xfId="419"/>
    <cellStyle name="Style 1 5 5" xfId="530"/>
    <cellStyle name="Style 1 5 6" xfId="642"/>
    <cellStyle name="Style 1 5 7" xfId="753"/>
    <cellStyle name="Style 1 5 8" xfId="866"/>
    <cellStyle name="Style 1 5 9" xfId="977"/>
    <cellStyle name="Style 1 6" xfId="130"/>
    <cellStyle name="Style 1 7" xfId="243"/>
    <cellStyle name="Style 1 8" xfId="357"/>
    <cellStyle name="Style 1 9" xfId="468"/>
  </cellStyles>
  <dxfs count="14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561974</xdr:colOff>
      <xdr:row>1</xdr:row>
      <xdr:rowOff>104775</xdr:rowOff>
    </xdr:from>
    <xdr:to>
      <xdr:col>11</xdr:col>
      <xdr:colOff>142875</xdr:colOff>
      <xdr:row>7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r="88231" b="73359"/>
        <a:stretch>
          <a:fillRect/>
        </a:stretch>
      </xdr:blipFill>
      <xdr:spPr bwMode="auto">
        <a:xfrm>
          <a:off x="5324474" y="295275"/>
          <a:ext cx="1409701" cy="1057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9</xdr:col>
      <xdr:colOff>304800</xdr:colOff>
      <xdr:row>5</xdr:row>
      <xdr:rowOff>95250</xdr:rowOff>
    </xdr:from>
    <xdr:to>
      <xdr:col>10</xdr:col>
      <xdr:colOff>314325</xdr:colOff>
      <xdr:row>6</xdr:row>
      <xdr:rowOff>66675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5400-000003000000}"/>
            </a:ext>
          </a:extLst>
        </xdr:cNvPr>
        <xdr:cNvSpPr/>
      </xdr:nvSpPr>
      <xdr:spPr>
        <a:xfrm>
          <a:off x="5553075" y="857250"/>
          <a:ext cx="619125" cy="161925"/>
        </a:xfrm>
        <a:prstGeom prst="ellipse">
          <a:avLst/>
        </a:prstGeom>
        <a:noFill/>
        <a:ln w="19050">
          <a:solidFill>
            <a:schemeClr val="accent4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590550</xdr:colOff>
      <xdr:row>3</xdr:row>
      <xdr:rowOff>114300</xdr:rowOff>
    </xdr:from>
    <xdr:to>
      <xdr:col>9</xdr:col>
      <xdr:colOff>257175</xdr:colOff>
      <xdr:row>5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5400-000004000000}"/>
            </a:ext>
          </a:extLst>
        </xdr:cNvPr>
        <xdr:cNvCxnSpPr/>
      </xdr:nvCxnSpPr>
      <xdr:spPr>
        <a:xfrm>
          <a:off x="3400425" y="495300"/>
          <a:ext cx="2105025" cy="390525"/>
        </a:xfrm>
        <a:prstGeom prst="straightConnector1">
          <a:avLst/>
        </a:prstGeom>
        <a:ln w="127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8</xdr:row>
          <xdr:rowOff>47625</xdr:rowOff>
        </xdr:from>
        <xdr:to>
          <xdr:col>5</xdr:col>
          <xdr:colOff>542925</xdr:colOff>
          <xdr:row>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5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57150</xdr:rowOff>
        </xdr:from>
        <xdr:to>
          <xdr:col>6</xdr:col>
          <xdr:colOff>47625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5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PUBLISH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I32"/>
  <sheetViews>
    <sheetView zoomScaleNormal="100" workbookViewId="0">
      <selection activeCell="E1" sqref="E1"/>
    </sheetView>
  </sheetViews>
  <sheetFormatPr defaultRowHeight="15"/>
  <cols>
    <col min="1" max="2" width="12.5703125" style="18" bestFit="1" customWidth="1"/>
    <col min="3" max="3" width="10.140625" style="19" bestFit="1" customWidth="1"/>
    <col min="4" max="4" width="12.28515625" style="20" bestFit="1" customWidth="1"/>
    <col min="5" max="5" width="42.7109375" style="28" bestFit="1" customWidth="1"/>
    <col min="6" max="6" width="7.5703125" style="21" bestFit="1" customWidth="1"/>
    <col min="7" max="7" width="8.7109375" style="31" bestFit="1" customWidth="1"/>
    <col min="8" max="8" width="11" style="40" bestFit="1" customWidth="1"/>
    <col min="9" max="9" width="21.85546875" style="40" bestFit="1" customWidth="1"/>
    <col min="10" max="16384" width="9.140625" style="40"/>
  </cols>
  <sheetData>
    <row r="1" spans="1:9">
      <c r="A1" s="22"/>
      <c r="B1" s="22"/>
      <c r="C1" s="23"/>
      <c r="D1" s="24"/>
      <c r="E1" s="29"/>
      <c r="F1" s="25"/>
      <c r="G1" s="30"/>
      <c r="H1" s="24"/>
      <c r="I1" s="24"/>
    </row>
    <row r="2" spans="1:9" ht="18.75">
      <c r="A2" s="95" t="s">
        <v>134</v>
      </c>
      <c r="B2" s="96"/>
      <c r="C2" s="96"/>
      <c r="D2" s="96"/>
      <c r="E2" s="96"/>
      <c r="F2" s="96"/>
      <c r="G2" s="96"/>
      <c r="H2" s="96"/>
      <c r="I2" s="96"/>
    </row>
    <row r="3" spans="1:9">
      <c r="A3" s="55" t="s">
        <v>14</v>
      </c>
      <c r="B3" s="55" t="s">
        <v>19</v>
      </c>
      <c r="C3" s="56" t="s">
        <v>10</v>
      </c>
      <c r="D3" s="57" t="s">
        <v>11</v>
      </c>
      <c r="E3" s="57" t="s">
        <v>47</v>
      </c>
      <c r="F3" s="58" t="s">
        <v>12</v>
      </c>
      <c r="G3" s="64" t="s">
        <v>52</v>
      </c>
      <c r="H3" s="57" t="s">
        <v>40</v>
      </c>
      <c r="I3" s="57" t="s">
        <v>44</v>
      </c>
    </row>
    <row r="4" spans="1:9">
      <c r="A4" s="48">
        <v>42721</v>
      </c>
      <c r="B4" s="49">
        <v>42721</v>
      </c>
      <c r="C4" s="50">
        <v>2.9809999999999999</v>
      </c>
      <c r="D4" s="53" t="s">
        <v>130</v>
      </c>
      <c r="E4" s="52" t="s">
        <v>130</v>
      </c>
      <c r="F4" s="54">
        <v>312000</v>
      </c>
      <c r="G4" s="65" t="s">
        <v>13</v>
      </c>
      <c r="H4" s="51" t="s">
        <v>51</v>
      </c>
      <c r="I4" s="59" t="s">
        <v>13</v>
      </c>
    </row>
    <row r="5" spans="1:9">
      <c r="A5" s="48">
        <v>42722</v>
      </c>
      <c r="B5" s="49">
        <v>42722</v>
      </c>
      <c r="C5" s="50">
        <v>2.9809999999999999</v>
      </c>
      <c r="D5" s="53" t="s">
        <v>130</v>
      </c>
      <c r="E5" s="52" t="s">
        <v>130</v>
      </c>
      <c r="F5" s="54">
        <v>312000</v>
      </c>
      <c r="G5" s="65">
        <f>SUM(F4:F5)</f>
        <v>624000</v>
      </c>
      <c r="H5" s="51" t="s">
        <v>51</v>
      </c>
      <c r="I5" s="59" t="s">
        <v>13</v>
      </c>
    </row>
    <row r="6" spans="1:9">
      <c r="A6" s="48">
        <v>42723</v>
      </c>
      <c r="B6" s="49">
        <v>42723</v>
      </c>
      <c r="C6" s="50">
        <v>0.34</v>
      </c>
      <c r="D6" s="53" t="s">
        <v>135</v>
      </c>
      <c r="E6" s="52" t="s">
        <v>135</v>
      </c>
      <c r="F6" s="54">
        <v>34000</v>
      </c>
      <c r="G6" s="65">
        <f>F6</f>
        <v>34000</v>
      </c>
      <c r="H6" s="51" t="s">
        <v>51</v>
      </c>
      <c r="I6" s="59" t="s">
        <v>66</v>
      </c>
    </row>
    <row r="7" spans="1:9">
      <c r="A7" s="48">
        <v>42723</v>
      </c>
      <c r="B7" s="49">
        <v>42723</v>
      </c>
      <c r="C7" s="50">
        <v>1.625</v>
      </c>
      <c r="D7" s="53" t="s">
        <v>130</v>
      </c>
      <c r="E7" s="52" t="s">
        <v>130</v>
      </c>
      <c r="F7" s="54">
        <v>170000</v>
      </c>
      <c r="G7" s="65" t="s">
        <v>13</v>
      </c>
      <c r="H7" s="51" t="s">
        <v>51</v>
      </c>
      <c r="I7" s="59" t="s">
        <v>13</v>
      </c>
    </row>
    <row r="8" spans="1:9">
      <c r="A8" s="48">
        <v>42724</v>
      </c>
      <c r="B8" s="49">
        <v>42724</v>
      </c>
      <c r="C8" s="50">
        <v>2.9809999999999999</v>
      </c>
      <c r="D8" s="53" t="s">
        <v>130</v>
      </c>
      <c r="E8" s="52" t="s">
        <v>130</v>
      </c>
      <c r="F8" s="54">
        <v>312000</v>
      </c>
      <c r="G8" s="65" t="s">
        <v>13</v>
      </c>
      <c r="H8" s="51" t="s">
        <v>51</v>
      </c>
      <c r="I8" s="59" t="s">
        <v>13</v>
      </c>
    </row>
    <row r="9" spans="1:9">
      <c r="A9" s="48">
        <v>42725</v>
      </c>
      <c r="B9" s="49">
        <v>42725</v>
      </c>
      <c r="C9" s="50">
        <v>2.9809999999999999</v>
      </c>
      <c r="D9" s="53" t="s">
        <v>130</v>
      </c>
      <c r="E9" s="52" t="s">
        <v>130</v>
      </c>
      <c r="F9" s="54">
        <v>312000</v>
      </c>
      <c r="G9" s="65">
        <f>SUM(F7:F9)</f>
        <v>794000</v>
      </c>
      <c r="H9" s="51" t="s">
        <v>51</v>
      </c>
      <c r="I9" s="59" t="s">
        <v>13</v>
      </c>
    </row>
    <row r="10" spans="1:9">
      <c r="A10" s="48">
        <v>42726</v>
      </c>
      <c r="B10" s="49">
        <v>42726</v>
      </c>
      <c r="C10" s="50">
        <v>1.988</v>
      </c>
      <c r="D10" s="53" t="s">
        <v>131</v>
      </c>
      <c r="E10" s="52" t="s">
        <v>131</v>
      </c>
      <c r="F10" s="54">
        <v>208000</v>
      </c>
      <c r="G10" s="65">
        <f>F10</f>
        <v>208000</v>
      </c>
      <c r="H10" s="51" t="s">
        <v>13</v>
      </c>
      <c r="I10" s="59" t="s">
        <v>13</v>
      </c>
    </row>
    <row r="11" spans="1:9">
      <c r="A11" s="22"/>
      <c r="B11" s="22"/>
      <c r="C11" s="23"/>
      <c r="D11" s="24"/>
      <c r="E11" s="24"/>
      <c r="F11" s="25"/>
      <c r="G11" s="30"/>
      <c r="H11" s="24"/>
      <c r="I11" s="24"/>
    </row>
    <row r="12" spans="1:9" ht="18.75">
      <c r="A12" s="89" t="s">
        <v>134</v>
      </c>
      <c r="B12" s="90"/>
      <c r="C12" s="90"/>
      <c r="D12" s="90"/>
      <c r="E12" s="90"/>
      <c r="F12" s="90"/>
      <c r="G12" s="90"/>
      <c r="H12" s="90"/>
      <c r="I12" s="90"/>
    </row>
    <row r="13" spans="1:9">
      <c r="A13" s="41" t="s">
        <v>14</v>
      </c>
      <c r="B13" s="46" t="s">
        <v>19</v>
      </c>
      <c r="C13" s="45" t="s">
        <v>10</v>
      </c>
      <c r="D13" s="44" t="s">
        <v>11</v>
      </c>
      <c r="E13" s="44" t="s">
        <v>47</v>
      </c>
      <c r="F13" s="43" t="s">
        <v>12</v>
      </c>
      <c r="G13" s="42" t="s">
        <v>52</v>
      </c>
      <c r="H13" s="44" t="s">
        <v>40</v>
      </c>
      <c r="I13" s="44" t="s">
        <v>44</v>
      </c>
    </row>
    <row r="14" spans="1:9" ht="15.75">
      <c r="A14" s="47" t="s">
        <v>87</v>
      </c>
      <c r="B14" s="91" t="s">
        <v>75</v>
      </c>
      <c r="C14" s="92"/>
      <c r="D14" s="92"/>
      <c r="E14" s="92"/>
      <c r="F14" s="92"/>
      <c r="G14" s="92"/>
      <c r="H14" s="92"/>
      <c r="I14" s="93"/>
    </row>
    <row r="15" spans="1:9">
      <c r="A15" s="94"/>
      <c r="B15" s="94"/>
      <c r="C15" s="94"/>
      <c r="D15" s="94"/>
      <c r="E15" s="94"/>
      <c r="F15" s="94"/>
      <c r="G15" s="94"/>
      <c r="H15" s="94"/>
      <c r="I15" s="94"/>
    </row>
    <row r="16" spans="1:9" ht="18.75">
      <c r="A16" s="97" t="s">
        <v>134</v>
      </c>
      <c r="B16" s="98"/>
      <c r="C16" s="98"/>
      <c r="D16" s="98"/>
      <c r="E16" s="98"/>
      <c r="F16" s="98"/>
      <c r="G16" s="98"/>
      <c r="H16" s="98"/>
      <c r="I16" s="98"/>
    </row>
    <row r="17" spans="1:9">
      <c r="A17" s="60" t="s">
        <v>14</v>
      </c>
      <c r="B17" s="60" t="s">
        <v>19</v>
      </c>
      <c r="C17" s="61" t="s">
        <v>10</v>
      </c>
      <c r="D17" s="62" t="s">
        <v>11</v>
      </c>
      <c r="E17" s="62" t="s">
        <v>47</v>
      </c>
      <c r="F17" s="63" t="s">
        <v>12</v>
      </c>
      <c r="G17" s="64" t="s">
        <v>52</v>
      </c>
      <c r="H17" s="62" t="s">
        <v>40</v>
      </c>
      <c r="I17" s="62" t="s">
        <v>44</v>
      </c>
    </row>
    <row r="18" spans="1:9">
      <c r="A18" s="49">
        <v>42738</v>
      </c>
      <c r="B18" s="49">
        <v>42738</v>
      </c>
      <c r="C18" s="50">
        <v>1.988</v>
      </c>
      <c r="D18" s="53" t="s">
        <v>130</v>
      </c>
      <c r="E18" s="52" t="s">
        <v>130</v>
      </c>
      <c r="F18" s="54">
        <v>208000</v>
      </c>
      <c r="G18" s="65" t="s">
        <v>13</v>
      </c>
      <c r="H18" s="51" t="s">
        <v>51</v>
      </c>
      <c r="I18" s="59" t="s">
        <v>13</v>
      </c>
    </row>
    <row r="19" spans="1:9">
      <c r="A19" s="49">
        <v>42739</v>
      </c>
      <c r="B19" s="49">
        <v>42739</v>
      </c>
      <c r="C19" s="50">
        <v>2.9809999999999999</v>
      </c>
      <c r="D19" s="53" t="s">
        <v>130</v>
      </c>
      <c r="E19" s="52" t="s">
        <v>130</v>
      </c>
      <c r="F19" s="54">
        <v>312000</v>
      </c>
      <c r="G19" s="65" t="s">
        <v>13</v>
      </c>
      <c r="H19" s="51" t="s">
        <v>51</v>
      </c>
      <c r="I19" s="59" t="s">
        <v>13</v>
      </c>
    </row>
    <row r="20" spans="1:9">
      <c r="A20" s="49">
        <v>42740</v>
      </c>
      <c r="B20" s="49">
        <v>42740</v>
      </c>
      <c r="C20" s="50">
        <v>2.9809999999999999</v>
      </c>
      <c r="D20" s="53" t="s">
        <v>130</v>
      </c>
      <c r="E20" s="52" t="s">
        <v>130</v>
      </c>
      <c r="F20" s="54">
        <v>312000</v>
      </c>
      <c r="G20" s="65">
        <f>SUM(F18:F20)</f>
        <v>832000</v>
      </c>
      <c r="H20" s="51" t="s">
        <v>51</v>
      </c>
      <c r="I20" s="59" t="s">
        <v>13</v>
      </c>
    </row>
    <row r="21" spans="1:9">
      <c r="A21" s="49">
        <v>42741</v>
      </c>
      <c r="B21" s="49">
        <v>42741</v>
      </c>
      <c r="C21" s="50">
        <v>1.988</v>
      </c>
      <c r="D21" s="53" t="s">
        <v>131</v>
      </c>
      <c r="E21" s="52" t="s">
        <v>131</v>
      </c>
      <c r="F21" s="54">
        <v>208000</v>
      </c>
      <c r="G21" s="65">
        <f>F21</f>
        <v>208000</v>
      </c>
      <c r="H21" s="51" t="s">
        <v>13</v>
      </c>
      <c r="I21" s="59" t="s">
        <v>13</v>
      </c>
    </row>
    <row r="22" spans="1:9">
      <c r="A22" s="49">
        <v>42741</v>
      </c>
      <c r="B22" s="49">
        <v>42741</v>
      </c>
      <c r="C22" s="50">
        <v>0.98099999999999998</v>
      </c>
      <c r="D22" s="53" t="s">
        <v>132</v>
      </c>
      <c r="E22" s="52" t="s">
        <v>132</v>
      </c>
      <c r="F22" s="54">
        <v>102000</v>
      </c>
      <c r="G22" s="65">
        <f>F22</f>
        <v>102000</v>
      </c>
      <c r="H22" s="51" t="s">
        <v>13</v>
      </c>
      <c r="I22" s="59" t="s">
        <v>13</v>
      </c>
    </row>
    <row r="23" spans="1:9">
      <c r="A23" s="22"/>
      <c r="B23" s="22"/>
      <c r="C23" s="23"/>
      <c r="D23" s="24"/>
      <c r="E23" s="29"/>
      <c r="F23" s="25"/>
      <c r="G23" s="30"/>
      <c r="H23" s="24"/>
      <c r="I23" s="24"/>
    </row>
    <row r="24" spans="1:9" ht="18.75">
      <c r="A24" s="97" t="s">
        <v>134</v>
      </c>
      <c r="B24" s="98"/>
      <c r="C24" s="98"/>
      <c r="D24" s="98"/>
      <c r="E24" s="98"/>
      <c r="F24" s="98"/>
      <c r="G24" s="98"/>
      <c r="H24" s="98"/>
      <c r="I24" s="98"/>
    </row>
    <row r="25" spans="1:9">
      <c r="A25" s="60" t="s">
        <v>14</v>
      </c>
      <c r="B25" s="60" t="s">
        <v>19</v>
      </c>
      <c r="C25" s="61" t="s">
        <v>10</v>
      </c>
      <c r="D25" s="62" t="s">
        <v>11</v>
      </c>
      <c r="E25" s="62" t="s">
        <v>47</v>
      </c>
      <c r="F25" s="63" t="s">
        <v>12</v>
      </c>
      <c r="G25" s="64" t="s">
        <v>52</v>
      </c>
      <c r="H25" s="62" t="s">
        <v>40</v>
      </c>
      <c r="I25" s="62" t="s">
        <v>44</v>
      </c>
    </row>
    <row r="26" spans="1:9">
      <c r="A26" s="49">
        <v>42744</v>
      </c>
      <c r="B26" s="49">
        <v>42744</v>
      </c>
      <c r="C26" s="50">
        <v>1.988</v>
      </c>
      <c r="D26" s="53" t="s">
        <v>131</v>
      </c>
      <c r="E26" s="52" t="s">
        <v>131</v>
      </c>
      <c r="F26" s="54">
        <v>208000</v>
      </c>
      <c r="G26" s="65" t="s">
        <v>13</v>
      </c>
      <c r="H26" s="51" t="s">
        <v>13</v>
      </c>
      <c r="I26" s="59" t="s">
        <v>13</v>
      </c>
    </row>
    <row r="27" spans="1:9">
      <c r="A27" s="49">
        <v>42745</v>
      </c>
      <c r="B27" s="49">
        <v>42745</v>
      </c>
      <c r="C27" s="50">
        <v>2.9809999999999999</v>
      </c>
      <c r="D27" s="53" t="s">
        <v>131</v>
      </c>
      <c r="E27" s="52" t="s">
        <v>131</v>
      </c>
      <c r="F27" s="54">
        <v>312000</v>
      </c>
      <c r="G27" s="65">
        <f>SUM(F26:F27)</f>
        <v>520000</v>
      </c>
      <c r="H27" s="51" t="s">
        <v>13</v>
      </c>
      <c r="I27" s="59" t="s">
        <v>13</v>
      </c>
    </row>
    <row r="28" spans="1:9">
      <c r="A28" s="49">
        <v>42746</v>
      </c>
      <c r="B28" s="49">
        <v>42746</v>
      </c>
      <c r="C28" s="50">
        <v>2.9809999999999999</v>
      </c>
      <c r="D28" s="53" t="s">
        <v>130</v>
      </c>
      <c r="E28" s="52" t="s">
        <v>130</v>
      </c>
      <c r="F28" s="54">
        <v>312000</v>
      </c>
      <c r="G28" s="65" t="s">
        <v>13</v>
      </c>
      <c r="H28" s="51" t="s">
        <v>51</v>
      </c>
      <c r="I28" s="59" t="s">
        <v>13</v>
      </c>
    </row>
    <row r="29" spans="1:9">
      <c r="A29" s="49">
        <v>42747</v>
      </c>
      <c r="B29" s="49">
        <v>42747</v>
      </c>
      <c r="C29" s="50">
        <v>2.9809999999999999</v>
      </c>
      <c r="D29" s="53" t="s">
        <v>130</v>
      </c>
      <c r="E29" s="52" t="s">
        <v>130</v>
      </c>
      <c r="F29" s="54">
        <v>312000</v>
      </c>
      <c r="G29" s="65" t="s">
        <v>13</v>
      </c>
      <c r="H29" s="51" t="s">
        <v>51</v>
      </c>
      <c r="I29" s="59" t="s">
        <v>13</v>
      </c>
    </row>
    <row r="30" spans="1:9">
      <c r="A30" s="49">
        <v>42748</v>
      </c>
      <c r="B30" s="49">
        <v>42748</v>
      </c>
      <c r="C30" s="50">
        <v>1.988</v>
      </c>
      <c r="D30" s="53" t="s">
        <v>130</v>
      </c>
      <c r="E30" s="52" t="s">
        <v>130</v>
      </c>
      <c r="F30" s="54">
        <v>208000</v>
      </c>
      <c r="G30" s="65">
        <f>SUM(F28:F30)</f>
        <v>832000</v>
      </c>
      <c r="H30" s="51" t="s">
        <v>51</v>
      </c>
      <c r="I30" s="59" t="s">
        <v>13</v>
      </c>
    </row>
    <row r="31" spans="1:9">
      <c r="A31" s="49">
        <v>42748</v>
      </c>
      <c r="B31" s="49">
        <v>42748</v>
      </c>
      <c r="C31" s="50">
        <v>0.93100000000000005</v>
      </c>
      <c r="D31" s="53" t="s">
        <v>133</v>
      </c>
      <c r="E31" s="52" t="s">
        <v>133</v>
      </c>
      <c r="F31" s="54">
        <v>91200</v>
      </c>
      <c r="G31" s="65">
        <f>F31</f>
        <v>91200</v>
      </c>
      <c r="H31" s="51" t="s">
        <v>51</v>
      </c>
      <c r="I31" s="59" t="s">
        <v>64</v>
      </c>
    </row>
    <row r="32" spans="1:9">
      <c r="A32" s="22"/>
      <c r="B32" s="22"/>
      <c r="C32" s="23"/>
      <c r="D32" s="24"/>
      <c r="E32" s="29"/>
      <c r="F32" s="25"/>
      <c r="G32" s="30"/>
      <c r="H32" s="24"/>
      <c r="I32" s="24"/>
    </row>
  </sheetData>
  <mergeCells count="6">
    <mergeCell ref="A2:I2"/>
    <mergeCell ref="A16:I16"/>
    <mergeCell ref="A24:I24"/>
    <mergeCell ref="A12:I12"/>
    <mergeCell ref="B14:I14"/>
    <mergeCell ref="A15:I15"/>
  </mergeCells>
  <conditionalFormatting sqref="A1:XFD10 A16:I1048576">
    <cfRule type="expression" dxfId="13" priority="5">
      <formula>$F1="CLEANOUT"</formula>
    </cfRule>
    <cfRule type="cellIs" dxfId="12" priority="6" operator="equal">
      <formula>"DOWN"</formula>
    </cfRule>
  </conditionalFormatting>
  <conditionalFormatting sqref="J16:XFD1048570">
    <cfRule type="expression" dxfId="11" priority="23535">
      <formula>$F21="CLEANOUT"</formula>
    </cfRule>
    <cfRule type="cellIs" dxfId="10" priority="23536" operator="equal">
      <formula>"DOWN"</formula>
    </cfRule>
  </conditionalFormatting>
  <conditionalFormatting sqref="A11:I13 A14:B14 A15">
    <cfRule type="cellIs" dxfId="9" priority="4" operator="equal">
      <formula>"DOWN"</formula>
    </cfRule>
  </conditionalFormatting>
  <conditionalFormatting sqref="J11:XFD11">
    <cfRule type="expression" dxfId="8" priority="23736">
      <formula>#REF!="CLEANOUT"</formula>
    </cfRule>
    <cfRule type="cellIs" dxfId="7" priority="23737" operator="equal">
      <formula>"DOWN"</formula>
    </cfRule>
  </conditionalFormatting>
  <conditionalFormatting sqref="J1048571:XFD1048576">
    <cfRule type="expression" dxfId="6" priority="23738">
      <formula>$F1="CLEANOUT"</formula>
    </cfRule>
    <cfRule type="cellIs" dxfId="5" priority="23739" operator="equal">
      <formula>"DOWN"</formula>
    </cfRule>
  </conditionalFormatting>
  <conditionalFormatting sqref="J12:XFD15">
    <cfRule type="expression" dxfId="4" priority="23742">
      <formula>$F16="CLEANOUT"</formula>
    </cfRule>
    <cfRule type="cellIs" dxfId="3" priority="23743" operator="equal">
      <formula>"DOWN"</formula>
    </cfRule>
  </conditionalFormatting>
  <printOptions horizontalCentered="1"/>
  <pageMargins left="0.5" right="0.5" top="0.6" bottom="0.5" header="0.3" footer="0.3"/>
  <pageSetup scale="91" orientation="landscape" r:id="rId1"/>
  <headerFooter>
    <oddHeader>&amp;CHannibal Lane Line Schedule 
Updated: &amp;D &amp;T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7322749-9E17-44D7-8D06-287C2DB1FB96}">
            <xm:f>#REF!="CLEANOUT"</xm:f>
            <x14:dxf>
              <font>
                <b/>
                <i val="0"/>
              </font>
            </x14:dxf>
          </x14:cfRule>
          <xm:sqref>A11:I13 A14:B14 A15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I27"/>
  <sheetViews>
    <sheetView zoomScale="120" zoomScaleNormal="120" workbookViewId="0"/>
  </sheetViews>
  <sheetFormatPr defaultRowHeight="15"/>
  <cols>
    <col min="1" max="2" width="11.5703125" style="18" bestFit="1" customWidth="1"/>
    <col min="3" max="3" width="10.140625" style="19" bestFit="1" customWidth="1"/>
    <col min="4" max="4" width="12.28515625" style="20" bestFit="1" customWidth="1"/>
    <col min="5" max="5" width="42.7109375" style="28" bestFit="1" customWidth="1"/>
    <col min="6" max="6" width="8" style="21" bestFit="1" customWidth="1"/>
    <col min="7" max="7" width="10.7109375" style="76" bestFit="1" customWidth="1"/>
    <col min="8" max="8" width="11" style="40" bestFit="1" customWidth="1"/>
    <col min="9" max="9" width="21.85546875" style="40" bestFit="1" customWidth="1"/>
    <col min="10" max="16384" width="9.140625" style="40"/>
  </cols>
  <sheetData>
    <row r="1" spans="1:9">
      <c r="A1" s="22"/>
      <c r="B1" s="22"/>
      <c r="C1" s="23"/>
      <c r="D1" s="24"/>
      <c r="E1" s="29"/>
      <c r="F1" s="25"/>
      <c r="G1" s="74"/>
      <c r="H1" s="24"/>
      <c r="I1" s="24"/>
    </row>
    <row r="2" spans="1:9" ht="18.75">
      <c r="A2" s="99" t="s">
        <v>134</v>
      </c>
      <c r="B2" s="100"/>
      <c r="C2" s="100"/>
      <c r="D2" s="100"/>
      <c r="E2" s="100"/>
      <c r="F2" s="100"/>
      <c r="G2" s="100"/>
      <c r="H2" s="100"/>
      <c r="I2" s="100"/>
    </row>
    <row r="3" spans="1:9">
      <c r="A3" s="66" t="s">
        <v>14</v>
      </c>
      <c r="B3" s="66" t="s">
        <v>19</v>
      </c>
      <c r="C3" s="67" t="s">
        <v>10</v>
      </c>
      <c r="D3" s="68" t="s">
        <v>11</v>
      </c>
      <c r="E3" s="68" t="s">
        <v>47</v>
      </c>
      <c r="F3" s="69" t="s">
        <v>12</v>
      </c>
      <c r="G3" s="75" t="s">
        <v>52</v>
      </c>
      <c r="H3" s="68" t="s">
        <v>40</v>
      </c>
      <c r="I3" s="68" t="s">
        <v>44</v>
      </c>
    </row>
    <row r="4" spans="1:9">
      <c r="A4" s="27">
        <v>42738</v>
      </c>
      <c r="B4" s="32">
        <v>42738</v>
      </c>
      <c r="C4" s="33">
        <v>1.988</v>
      </c>
      <c r="D4" s="34" t="s">
        <v>130</v>
      </c>
      <c r="E4" s="35" t="s">
        <v>130</v>
      </c>
      <c r="F4" s="36">
        <v>208000</v>
      </c>
      <c r="G4" s="39" t="s">
        <v>13</v>
      </c>
      <c r="H4" s="37" t="s">
        <v>51</v>
      </c>
      <c r="I4" s="38" t="s">
        <v>13</v>
      </c>
    </row>
    <row r="5" spans="1:9">
      <c r="A5" s="27">
        <v>42739</v>
      </c>
      <c r="B5" s="32">
        <v>42739</v>
      </c>
      <c r="C5" s="33">
        <v>2.9809999999999999</v>
      </c>
      <c r="D5" s="34" t="s">
        <v>130</v>
      </c>
      <c r="E5" s="35" t="s">
        <v>130</v>
      </c>
      <c r="F5" s="36">
        <v>312000</v>
      </c>
      <c r="G5" s="39" t="s">
        <v>13</v>
      </c>
      <c r="H5" s="37" t="s">
        <v>51</v>
      </c>
      <c r="I5" s="38" t="s">
        <v>13</v>
      </c>
    </row>
    <row r="6" spans="1:9">
      <c r="A6" s="27">
        <v>42740</v>
      </c>
      <c r="B6" s="32">
        <v>42740</v>
      </c>
      <c r="C6" s="33">
        <v>3</v>
      </c>
      <c r="D6" s="34" t="s">
        <v>131</v>
      </c>
      <c r="E6" s="35" t="s">
        <v>131</v>
      </c>
      <c r="F6" s="36">
        <v>312000</v>
      </c>
      <c r="G6" s="39">
        <f>F6</f>
        <v>312000</v>
      </c>
      <c r="H6" s="37" t="s">
        <v>13</v>
      </c>
      <c r="I6" s="38" t="s">
        <v>13</v>
      </c>
    </row>
    <row r="7" spans="1:9">
      <c r="A7" s="27">
        <v>42741</v>
      </c>
      <c r="B7" s="32">
        <v>42741</v>
      </c>
      <c r="C7" s="33">
        <v>2</v>
      </c>
      <c r="D7" s="34" t="s">
        <v>130</v>
      </c>
      <c r="E7" s="35" t="s">
        <v>130</v>
      </c>
      <c r="F7" s="36">
        <v>208000</v>
      </c>
      <c r="G7" s="39">
        <f>SUM(F4:F7)-F6</f>
        <v>728000</v>
      </c>
      <c r="H7" s="37" t="s">
        <v>51</v>
      </c>
      <c r="I7" s="38" t="s">
        <v>13</v>
      </c>
    </row>
    <row r="8" spans="1:9">
      <c r="A8" s="27">
        <v>42741</v>
      </c>
      <c r="B8" s="32">
        <v>42741</v>
      </c>
      <c r="C8" s="33">
        <v>0.98099999999999998</v>
      </c>
      <c r="D8" s="34" t="s">
        <v>132</v>
      </c>
      <c r="E8" s="35" t="s">
        <v>132</v>
      </c>
      <c r="F8" s="36">
        <v>100000</v>
      </c>
      <c r="G8" s="39">
        <f>F8</f>
        <v>100000</v>
      </c>
      <c r="H8" s="37" t="s">
        <v>13</v>
      </c>
      <c r="I8" s="38" t="s">
        <v>13</v>
      </c>
    </row>
    <row r="9" spans="1:9">
      <c r="A9" s="22"/>
      <c r="B9" s="22"/>
      <c r="C9" s="23"/>
      <c r="D9" s="24"/>
      <c r="E9" s="29"/>
      <c r="F9" s="25"/>
      <c r="G9" s="74"/>
      <c r="H9" s="24"/>
      <c r="I9" s="24"/>
    </row>
    <row r="10" spans="1:9" ht="18.75">
      <c r="A10" s="101" t="s">
        <v>134</v>
      </c>
      <c r="B10" s="102"/>
      <c r="C10" s="102"/>
      <c r="D10" s="102"/>
      <c r="E10" s="102"/>
      <c r="F10" s="102"/>
      <c r="G10" s="102"/>
      <c r="H10" s="102"/>
      <c r="I10" s="102"/>
    </row>
    <row r="11" spans="1:9">
      <c r="A11" s="70" t="s">
        <v>14</v>
      </c>
      <c r="B11" s="70" t="s">
        <v>19</v>
      </c>
      <c r="C11" s="71" t="s">
        <v>10</v>
      </c>
      <c r="D11" s="72" t="s">
        <v>11</v>
      </c>
      <c r="E11" s="72" t="s">
        <v>47</v>
      </c>
      <c r="F11" s="73" t="s">
        <v>12</v>
      </c>
      <c r="G11" s="75" t="s">
        <v>52</v>
      </c>
      <c r="H11" s="72" t="s">
        <v>40</v>
      </c>
      <c r="I11" s="72" t="s">
        <v>44</v>
      </c>
    </row>
    <row r="12" spans="1:9">
      <c r="A12" s="32">
        <v>42744</v>
      </c>
      <c r="B12" s="32">
        <v>42744</v>
      </c>
      <c r="C12" s="33">
        <v>1.988</v>
      </c>
      <c r="D12" s="34" t="s">
        <v>131</v>
      </c>
      <c r="E12" s="35" t="s">
        <v>131</v>
      </c>
      <c r="F12" s="36">
        <v>208000</v>
      </c>
      <c r="G12" s="39" t="s">
        <v>13</v>
      </c>
      <c r="H12" s="37" t="s">
        <v>13</v>
      </c>
      <c r="I12" s="38" t="s">
        <v>13</v>
      </c>
    </row>
    <row r="13" spans="1:9">
      <c r="A13" s="32">
        <v>42745</v>
      </c>
      <c r="B13" s="32">
        <v>42745</v>
      </c>
      <c r="C13" s="33">
        <v>2.9809999999999999</v>
      </c>
      <c r="D13" s="34" t="s">
        <v>131</v>
      </c>
      <c r="E13" s="35" t="s">
        <v>131</v>
      </c>
      <c r="F13" s="36">
        <v>312000</v>
      </c>
      <c r="G13" s="39">
        <f>SUM(F12:F13)</f>
        <v>520000</v>
      </c>
      <c r="H13" s="37" t="s">
        <v>13</v>
      </c>
      <c r="I13" s="38" t="s">
        <v>13</v>
      </c>
    </row>
    <row r="14" spans="1:9">
      <c r="A14" s="32">
        <v>42746</v>
      </c>
      <c r="B14" s="32">
        <v>42746</v>
      </c>
      <c r="C14" s="33">
        <v>2.9809999999999999</v>
      </c>
      <c r="D14" s="34" t="s">
        <v>130</v>
      </c>
      <c r="E14" s="35" t="s">
        <v>130</v>
      </c>
      <c r="F14" s="36">
        <v>312000</v>
      </c>
      <c r="G14" s="39" t="s">
        <v>13</v>
      </c>
      <c r="H14" s="37" t="s">
        <v>51</v>
      </c>
      <c r="I14" s="38" t="s">
        <v>13</v>
      </c>
    </row>
    <row r="15" spans="1:9">
      <c r="A15" s="32">
        <v>42747</v>
      </c>
      <c r="B15" s="32">
        <v>42747</v>
      </c>
      <c r="C15" s="33">
        <v>2.9809999999999999</v>
      </c>
      <c r="D15" s="34" t="s">
        <v>130</v>
      </c>
      <c r="E15" s="35" t="s">
        <v>130</v>
      </c>
      <c r="F15" s="36">
        <v>312000</v>
      </c>
      <c r="G15" s="39" t="s">
        <v>13</v>
      </c>
      <c r="H15" s="37" t="s">
        <v>51</v>
      </c>
      <c r="I15" s="38" t="s">
        <v>13</v>
      </c>
    </row>
    <row r="16" spans="1:9">
      <c r="A16" s="32">
        <v>42748</v>
      </c>
      <c r="B16" s="32">
        <v>42748</v>
      </c>
      <c r="C16" s="33">
        <v>1.988</v>
      </c>
      <c r="D16" s="34" t="s">
        <v>130</v>
      </c>
      <c r="E16" s="35" t="s">
        <v>130</v>
      </c>
      <c r="F16" s="36">
        <v>208000</v>
      </c>
      <c r="G16" s="39">
        <f>SUM(F14:F16)</f>
        <v>832000</v>
      </c>
      <c r="H16" s="37" t="s">
        <v>51</v>
      </c>
      <c r="I16" s="38" t="s">
        <v>13</v>
      </c>
    </row>
    <row r="17" spans="1:9">
      <c r="A17" s="32">
        <v>42748</v>
      </c>
      <c r="B17" s="32">
        <v>42748</v>
      </c>
      <c r="C17" s="33">
        <v>0.93100000000000005</v>
      </c>
      <c r="D17" s="34" t="s">
        <v>133</v>
      </c>
      <c r="E17" s="35" t="s">
        <v>133</v>
      </c>
      <c r="F17" s="36">
        <v>91200</v>
      </c>
      <c r="G17" s="39">
        <f>F17</f>
        <v>91200</v>
      </c>
      <c r="H17" s="37" t="s">
        <v>51</v>
      </c>
      <c r="I17" s="38" t="s">
        <v>64</v>
      </c>
    </row>
    <row r="18" spans="1:9">
      <c r="A18" s="22"/>
      <c r="B18" s="22"/>
      <c r="C18" s="23"/>
      <c r="D18" s="24"/>
      <c r="E18" s="29"/>
      <c r="F18" s="25"/>
      <c r="G18" s="74"/>
      <c r="H18" s="24"/>
      <c r="I18" s="24"/>
    </row>
    <row r="19" spans="1:9" ht="18.75">
      <c r="A19" s="101" t="s">
        <v>134</v>
      </c>
      <c r="B19" s="102"/>
      <c r="C19" s="102"/>
      <c r="D19" s="102"/>
      <c r="E19" s="102"/>
      <c r="F19" s="102"/>
      <c r="G19" s="102"/>
      <c r="H19" s="102"/>
      <c r="I19" s="102"/>
    </row>
    <row r="20" spans="1:9">
      <c r="A20" s="70" t="s">
        <v>14</v>
      </c>
      <c r="B20" s="70" t="s">
        <v>19</v>
      </c>
      <c r="C20" s="71" t="s">
        <v>10</v>
      </c>
      <c r="D20" s="72" t="s">
        <v>11</v>
      </c>
      <c r="E20" s="72" t="s">
        <v>47</v>
      </c>
      <c r="F20" s="73" t="s">
        <v>12</v>
      </c>
      <c r="G20" s="75" t="s">
        <v>52</v>
      </c>
      <c r="H20" s="72" t="s">
        <v>40</v>
      </c>
      <c r="I20" s="72" t="s">
        <v>44</v>
      </c>
    </row>
    <row r="21" spans="1:9">
      <c r="A21" s="32">
        <v>42751</v>
      </c>
      <c r="B21" s="32">
        <v>42751</v>
      </c>
      <c r="C21" s="33">
        <v>0.34</v>
      </c>
      <c r="D21" s="34" t="s">
        <v>135</v>
      </c>
      <c r="E21" s="35" t="s">
        <v>135</v>
      </c>
      <c r="F21" s="36">
        <v>34000</v>
      </c>
      <c r="G21" s="39">
        <f>F21</f>
        <v>34000</v>
      </c>
      <c r="H21" s="37" t="s">
        <v>51</v>
      </c>
      <c r="I21" s="38" t="s">
        <v>66</v>
      </c>
    </row>
    <row r="22" spans="1:9">
      <c r="A22" s="32">
        <v>42751</v>
      </c>
      <c r="B22" s="32">
        <v>42751</v>
      </c>
      <c r="C22" s="33">
        <v>0.99399999999999999</v>
      </c>
      <c r="D22" s="34" t="s">
        <v>131</v>
      </c>
      <c r="E22" s="35" t="s">
        <v>131</v>
      </c>
      <c r="F22" s="36">
        <v>104000</v>
      </c>
      <c r="G22" s="39" t="s">
        <v>13</v>
      </c>
      <c r="H22" s="37" t="s">
        <v>13</v>
      </c>
      <c r="I22" s="38" t="s">
        <v>13</v>
      </c>
    </row>
    <row r="23" spans="1:9">
      <c r="A23" s="32">
        <v>42752</v>
      </c>
      <c r="B23" s="32">
        <v>42752</v>
      </c>
      <c r="C23" s="33">
        <v>2.9809999999999999</v>
      </c>
      <c r="D23" s="34" t="s">
        <v>131</v>
      </c>
      <c r="E23" s="35" t="s">
        <v>131</v>
      </c>
      <c r="F23" s="36">
        <v>312000</v>
      </c>
      <c r="G23" s="39">
        <f>SUM(F22:F23)</f>
        <v>416000</v>
      </c>
      <c r="H23" s="37" t="s">
        <v>13</v>
      </c>
      <c r="I23" s="38" t="s">
        <v>13</v>
      </c>
    </row>
    <row r="24" spans="1:9">
      <c r="A24" s="32">
        <v>42753</v>
      </c>
      <c r="B24" s="32">
        <v>42753</v>
      </c>
      <c r="C24" s="33">
        <v>2.9809999999999999</v>
      </c>
      <c r="D24" s="34" t="s">
        <v>130</v>
      </c>
      <c r="E24" s="35" t="s">
        <v>130</v>
      </c>
      <c r="F24" s="36">
        <v>312000</v>
      </c>
      <c r="G24" s="39" t="s">
        <v>13</v>
      </c>
      <c r="H24" s="37" t="s">
        <v>51</v>
      </c>
      <c r="I24" s="38" t="s">
        <v>13</v>
      </c>
    </row>
    <row r="25" spans="1:9">
      <c r="A25" s="32">
        <v>42754</v>
      </c>
      <c r="B25" s="32">
        <v>42754</v>
      </c>
      <c r="C25" s="33">
        <v>2.9809999999999999</v>
      </c>
      <c r="D25" s="34" t="s">
        <v>130</v>
      </c>
      <c r="E25" s="35" t="s">
        <v>130</v>
      </c>
      <c r="F25" s="36">
        <v>312000</v>
      </c>
      <c r="G25" s="39" t="s">
        <v>13</v>
      </c>
      <c r="H25" s="37" t="s">
        <v>51</v>
      </c>
      <c r="I25" s="38" t="s">
        <v>13</v>
      </c>
    </row>
    <row r="26" spans="1:9">
      <c r="A26" s="32">
        <v>42755</v>
      </c>
      <c r="B26" s="32">
        <v>42755</v>
      </c>
      <c r="C26" s="33">
        <v>2.9809999999999999</v>
      </c>
      <c r="D26" s="34" t="s">
        <v>130</v>
      </c>
      <c r="E26" s="35" t="s">
        <v>130</v>
      </c>
      <c r="F26" s="36">
        <v>312000</v>
      </c>
      <c r="G26" s="39">
        <f>SUM(F24:F26)</f>
        <v>936000</v>
      </c>
      <c r="H26" s="37" t="s">
        <v>51</v>
      </c>
      <c r="I26" s="38" t="s">
        <v>13</v>
      </c>
    </row>
    <row r="27" spans="1:9">
      <c r="A27" s="22"/>
      <c r="B27" s="22"/>
      <c r="C27" s="23"/>
      <c r="D27" s="24"/>
      <c r="E27" s="29"/>
      <c r="F27" s="25"/>
      <c r="G27" s="74"/>
      <c r="H27" s="24"/>
      <c r="I27" s="24"/>
    </row>
  </sheetData>
  <mergeCells count="3">
    <mergeCell ref="A2:I2"/>
    <mergeCell ref="A10:I10"/>
    <mergeCell ref="A19:I19"/>
  </mergeCells>
  <conditionalFormatting sqref="A1:XFD1048576">
    <cfRule type="expression" dxfId="1" priority="1">
      <formula>$F1="CLEANOUT"</formula>
    </cfRule>
    <cfRule type="cellIs" dxfId="0" priority="2" operator="equal">
      <formula>"DOWN"</formula>
    </cfRule>
  </conditionalFormatting>
  <printOptions horizontalCentered="1"/>
  <pageMargins left="0.5" right="0.5" top="0.6" bottom="0.5" header="0.3" footer="0.3"/>
  <pageSetup scale="92" orientation="landscape" r:id="rId1"/>
  <headerFooter>
    <oddHeader>&amp;CHannibal Lane Line Schedule 
Updated: &amp;D &amp;T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W24"/>
  <sheetViews>
    <sheetView workbookViewId="0"/>
  </sheetViews>
  <sheetFormatPr defaultRowHeight="15"/>
  <cols>
    <col min="1" max="1" width="5.5703125" style="1" customWidth="1"/>
    <col min="6" max="6" width="11" bestFit="1" customWidth="1"/>
  </cols>
  <sheetData>
    <row r="1" spans="1:23">
      <c r="A1" s="1">
        <v>1</v>
      </c>
      <c r="B1" t="s">
        <v>0</v>
      </c>
    </row>
    <row r="2" spans="1:23">
      <c r="A2" s="1">
        <f t="shared" ref="A2:A15" si="0">A1+1</f>
        <v>2</v>
      </c>
      <c r="B2" t="s">
        <v>30</v>
      </c>
    </row>
    <row r="3" spans="1:23">
      <c r="A3" s="1">
        <f t="shared" si="0"/>
        <v>3</v>
      </c>
      <c r="B3" t="s">
        <v>1</v>
      </c>
      <c r="S3" s="103"/>
      <c r="T3" s="103"/>
      <c r="U3" s="103"/>
      <c r="V3" s="103"/>
      <c r="W3" s="103"/>
    </row>
    <row r="4" spans="1:23">
      <c r="A4" s="1">
        <f t="shared" si="0"/>
        <v>4</v>
      </c>
      <c r="B4" t="s">
        <v>2</v>
      </c>
    </row>
    <row r="5" spans="1:23">
      <c r="A5" s="1">
        <f t="shared" si="0"/>
        <v>5</v>
      </c>
      <c r="B5" t="s">
        <v>3</v>
      </c>
    </row>
    <row r="6" spans="1:23">
      <c r="A6" s="1">
        <f t="shared" si="0"/>
        <v>6</v>
      </c>
      <c r="B6" t="s">
        <v>15</v>
      </c>
    </row>
    <row r="7" spans="1:23">
      <c r="A7" s="1">
        <f t="shared" si="0"/>
        <v>7</v>
      </c>
      <c r="B7" t="s">
        <v>4</v>
      </c>
    </row>
    <row r="8" spans="1:23">
      <c r="A8" s="1">
        <f t="shared" si="0"/>
        <v>8</v>
      </c>
      <c r="B8" t="s">
        <v>60</v>
      </c>
    </row>
    <row r="9" spans="1:23">
      <c r="A9" s="1">
        <f t="shared" si="0"/>
        <v>9</v>
      </c>
      <c r="B9" t="s">
        <v>31</v>
      </c>
    </row>
    <row r="11" spans="1:23">
      <c r="A11" s="1">
        <f>A9+1</f>
        <v>10</v>
      </c>
      <c r="B11" t="s">
        <v>6</v>
      </c>
    </row>
    <row r="12" spans="1:23">
      <c r="A12" s="1">
        <f t="shared" si="0"/>
        <v>11</v>
      </c>
      <c r="B12" t="s">
        <v>32</v>
      </c>
    </row>
    <row r="14" spans="1:23">
      <c r="A14" s="1">
        <f>A12+1</f>
        <v>12</v>
      </c>
      <c r="B14" t="s">
        <v>33</v>
      </c>
    </row>
    <row r="15" spans="1:23">
      <c r="A15" s="1">
        <f t="shared" si="0"/>
        <v>13</v>
      </c>
      <c r="B15" t="s">
        <v>34</v>
      </c>
    </row>
    <row r="17" spans="1:6">
      <c r="A17" s="1">
        <v>14</v>
      </c>
      <c r="B17" s="26" t="s">
        <v>48</v>
      </c>
    </row>
    <row r="18" spans="1:6">
      <c r="C18" t="s">
        <v>49</v>
      </c>
    </row>
    <row r="19" spans="1:6">
      <c r="C19" t="s">
        <v>57</v>
      </c>
    </row>
    <row r="20" spans="1:6">
      <c r="C20" t="s">
        <v>136</v>
      </c>
    </row>
    <row r="21" spans="1:6">
      <c r="C21" t="s">
        <v>50</v>
      </c>
    </row>
    <row r="24" spans="1:6">
      <c r="F24" s="3"/>
    </row>
  </sheetData>
  <mergeCells count="1">
    <mergeCell ref="S3:W3"/>
  </mergeCells>
  <printOptions horizontalCentered="1"/>
  <pageMargins left="0.5" right="0.5" top="0.5" bottom="0.5" header="0.3" footer="0.3"/>
  <pageSetup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Data">
                <anchor moveWithCells="1" sizeWithCells="1">
                  <from>
                    <xdr:col>3</xdr:col>
                    <xdr:colOff>390525</xdr:colOff>
                    <xdr:row>8</xdr:row>
                    <xdr:rowOff>47625</xdr:rowOff>
                  </from>
                  <to>
                    <xdr:col>5</xdr:col>
                    <xdr:colOff>542925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ublishReport">
                <anchor moveWithCells="1" sizeWithCells="1">
                  <from>
                    <xdr:col>4</xdr:col>
                    <xdr:colOff>19050</xdr:colOff>
                    <xdr:row>11</xdr:row>
                    <xdr:rowOff>57150</xdr:rowOff>
                  </from>
                  <to>
                    <xdr:col>6</xdr:col>
                    <xdr:colOff>47625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  <pageSetUpPr fitToPage="1"/>
  </sheetPr>
  <dimension ref="A1:I41"/>
  <sheetViews>
    <sheetView tabSelected="1" zoomScale="90" zoomScaleNormal="90" workbookViewId="0"/>
  </sheetViews>
  <sheetFormatPr defaultColWidth="11.42578125" defaultRowHeight="15"/>
  <sheetData>
    <row r="1" spans="1:9">
      <c r="A1" s="87" t="s">
        <v>7</v>
      </c>
      <c r="B1" s="87" t="s">
        <v>8</v>
      </c>
      <c r="C1" s="88" t="s">
        <v>9</v>
      </c>
      <c r="D1" s="88">
        <v>1</v>
      </c>
      <c r="E1" s="88">
        <v>2</v>
      </c>
      <c r="F1" s="88">
        <v>3</v>
      </c>
      <c r="G1" s="88">
        <v>4</v>
      </c>
      <c r="H1" s="88">
        <v>5</v>
      </c>
      <c r="I1" s="88">
        <v>6</v>
      </c>
    </row>
    <row r="2" spans="1:9">
      <c r="A2" s="84" t="s">
        <v>88</v>
      </c>
      <c r="B2" s="81" t="s">
        <v>134</v>
      </c>
      <c r="C2" s="79" t="s">
        <v>67</v>
      </c>
      <c r="D2" s="77" t="s">
        <v>101</v>
      </c>
      <c r="E2" s="77" t="s">
        <v>102</v>
      </c>
      <c r="F2" s="77" t="s">
        <v>13</v>
      </c>
      <c r="G2" s="77" t="s">
        <v>13</v>
      </c>
      <c r="H2" s="77" t="s">
        <v>13</v>
      </c>
      <c r="I2" s="77" t="s">
        <v>13</v>
      </c>
    </row>
    <row r="3" spans="1:9">
      <c r="A3" s="85"/>
      <c r="B3" s="82"/>
      <c r="C3" s="80" t="s">
        <v>68</v>
      </c>
      <c r="D3" s="78" t="s">
        <v>102</v>
      </c>
      <c r="E3" s="78" t="s">
        <v>103</v>
      </c>
      <c r="F3" s="78" t="s">
        <v>13</v>
      </c>
      <c r="G3" s="78" t="s">
        <v>13</v>
      </c>
      <c r="H3" s="78" t="s">
        <v>13</v>
      </c>
      <c r="I3" s="78" t="s">
        <v>13</v>
      </c>
    </row>
    <row r="4" spans="1:9">
      <c r="A4" s="85"/>
      <c r="B4" s="82"/>
      <c r="C4" s="80" t="s">
        <v>10</v>
      </c>
      <c r="D4" s="78" t="s">
        <v>69</v>
      </c>
      <c r="E4" s="78" t="s">
        <v>76</v>
      </c>
      <c r="F4" s="78" t="s">
        <v>13</v>
      </c>
      <c r="G4" s="78" t="s">
        <v>13</v>
      </c>
      <c r="H4" s="78" t="s">
        <v>13</v>
      </c>
      <c r="I4" s="78" t="s">
        <v>13</v>
      </c>
    </row>
    <row r="5" spans="1:9">
      <c r="A5" s="85"/>
      <c r="B5" s="82"/>
      <c r="C5" s="80" t="s">
        <v>61</v>
      </c>
      <c r="D5" s="78" t="s">
        <v>130</v>
      </c>
      <c r="E5" s="78" t="s">
        <v>132</v>
      </c>
      <c r="F5" s="78" t="s">
        <v>13</v>
      </c>
      <c r="G5" s="78" t="s">
        <v>13</v>
      </c>
      <c r="H5" s="78" t="s">
        <v>13</v>
      </c>
      <c r="I5" s="78" t="s">
        <v>13</v>
      </c>
    </row>
    <row r="6" spans="1:9">
      <c r="A6" s="85"/>
      <c r="B6" s="82"/>
      <c r="C6" s="80" t="s">
        <v>11</v>
      </c>
      <c r="D6" s="78" t="s">
        <v>130</v>
      </c>
      <c r="E6" s="78" t="s">
        <v>132</v>
      </c>
      <c r="F6" s="78" t="s">
        <v>13</v>
      </c>
      <c r="G6" s="78" t="s">
        <v>13</v>
      </c>
      <c r="H6" s="78" t="s">
        <v>13</v>
      </c>
      <c r="I6" s="78" t="s">
        <v>13</v>
      </c>
    </row>
    <row r="7" spans="1:9">
      <c r="A7" s="85"/>
      <c r="B7" s="82"/>
      <c r="C7" s="80" t="s">
        <v>12</v>
      </c>
      <c r="D7" s="78" t="s">
        <v>104</v>
      </c>
      <c r="E7" s="78" t="s">
        <v>77</v>
      </c>
      <c r="F7" s="78" t="s">
        <v>13</v>
      </c>
      <c r="G7" s="78" t="s">
        <v>13</v>
      </c>
      <c r="H7" s="78" t="s">
        <v>13</v>
      </c>
      <c r="I7" s="78" t="s">
        <v>13</v>
      </c>
    </row>
    <row r="8" spans="1:9">
      <c r="A8" s="85"/>
      <c r="B8" s="82"/>
      <c r="C8" s="80" t="s">
        <v>13</v>
      </c>
      <c r="D8" s="78" t="s">
        <v>13</v>
      </c>
      <c r="E8" s="78" t="s">
        <v>13</v>
      </c>
      <c r="F8" s="78" t="s">
        <v>13</v>
      </c>
      <c r="G8" s="78" t="s">
        <v>13</v>
      </c>
      <c r="H8" s="78" t="s">
        <v>13</v>
      </c>
      <c r="I8" s="78" t="s">
        <v>13</v>
      </c>
    </row>
    <row r="9" spans="1:9">
      <c r="A9" s="85"/>
      <c r="B9" s="82"/>
      <c r="C9" s="80" t="s">
        <v>62</v>
      </c>
      <c r="D9" s="78" t="s">
        <v>51</v>
      </c>
      <c r="E9" s="78" t="s">
        <v>13</v>
      </c>
      <c r="F9" s="78" t="s">
        <v>13</v>
      </c>
      <c r="G9" s="78" t="s">
        <v>13</v>
      </c>
      <c r="H9" s="78" t="s">
        <v>13</v>
      </c>
      <c r="I9" s="78" t="s">
        <v>13</v>
      </c>
    </row>
    <row r="10" spans="1:9">
      <c r="A10" s="85"/>
      <c r="B10" s="82"/>
      <c r="C10" s="80" t="s">
        <v>63</v>
      </c>
      <c r="D10" s="78" t="s">
        <v>13</v>
      </c>
      <c r="E10" s="78" t="s">
        <v>13</v>
      </c>
      <c r="F10" s="78" t="s">
        <v>13</v>
      </c>
      <c r="G10" s="78" t="s">
        <v>13</v>
      </c>
      <c r="H10" s="78" t="s">
        <v>13</v>
      </c>
      <c r="I10" s="78" t="s">
        <v>13</v>
      </c>
    </row>
    <row r="11" spans="1:9">
      <c r="A11" s="85" t="s">
        <v>88</v>
      </c>
      <c r="B11" s="81" t="s">
        <v>134</v>
      </c>
      <c r="C11" s="80" t="s">
        <v>13</v>
      </c>
      <c r="D11" s="78" t="s">
        <v>13</v>
      </c>
      <c r="E11" s="78" t="s">
        <v>13</v>
      </c>
      <c r="F11" s="78" t="s">
        <v>13</v>
      </c>
      <c r="G11" s="78" t="s">
        <v>13</v>
      </c>
      <c r="H11" s="78" t="s">
        <v>13</v>
      </c>
      <c r="I11" s="78" t="s">
        <v>13</v>
      </c>
    </row>
    <row r="12" spans="1:9">
      <c r="A12" s="84" t="s">
        <v>78</v>
      </c>
      <c r="B12" s="81" t="s">
        <v>134</v>
      </c>
      <c r="C12" s="80" t="s">
        <v>67</v>
      </c>
      <c r="D12" s="78" t="s">
        <v>79</v>
      </c>
      <c r="E12" s="78" t="s">
        <v>105</v>
      </c>
      <c r="F12" s="78" t="s">
        <v>89</v>
      </c>
      <c r="G12" s="78" t="s">
        <v>90</v>
      </c>
      <c r="H12" s="78" t="s">
        <v>91</v>
      </c>
      <c r="I12" s="78" t="s">
        <v>92</v>
      </c>
    </row>
    <row r="13" spans="1:9">
      <c r="A13" s="85"/>
      <c r="B13" s="82"/>
      <c r="C13" s="80" t="s">
        <v>68</v>
      </c>
      <c r="D13" s="78" t="s">
        <v>80</v>
      </c>
      <c r="E13" s="78" t="s">
        <v>106</v>
      </c>
      <c r="F13" s="78" t="s">
        <v>93</v>
      </c>
      <c r="G13" s="78" t="s">
        <v>94</v>
      </c>
      <c r="H13" s="78" t="s">
        <v>92</v>
      </c>
      <c r="I13" s="78" t="s">
        <v>107</v>
      </c>
    </row>
    <row r="14" spans="1:9">
      <c r="A14" s="85"/>
      <c r="B14" s="82"/>
      <c r="C14" s="80" t="s">
        <v>10</v>
      </c>
      <c r="D14" s="78" t="s">
        <v>69</v>
      </c>
      <c r="E14" s="78" t="s">
        <v>70</v>
      </c>
      <c r="F14" s="78" t="s">
        <v>70</v>
      </c>
      <c r="G14" s="78" t="s">
        <v>70</v>
      </c>
      <c r="H14" s="78" t="s">
        <v>69</v>
      </c>
      <c r="I14" s="78" t="s">
        <v>108</v>
      </c>
    </row>
    <row r="15" spans="1:9">
      <c r="A15" s="85"/>
      <c r="B15" s="82"/>
      <c r="C15" s="80" t="s">
        <v>61</v>
      </c>
      <c r="D15" s="78" t="s">
        <v>131</v>
      </c>
      <c r="E15" s="78" t="s">
        <v>131</v>
      </c>
      <c r="F15" s="78" t="s">
        <v>130</v>
      </c>
      <c r="G15" s="78" t="s">
        <v>130</v>
      </c>
      <c r="H15" s="78" t="s">
        <v>130</v>
      </c>
      <c r="I15" s="78" t="s">
        <v>133</v>
      </c>
    </row>
    <row r="16" spans="1:9">
      <c r="A16" s="85"/>
      <c r="B16" s="82"/>
      <c r="C16" s="80" t="s">
        <v>11</v>
      </c>
      <c r="D16" s="78" t="s">
        <v>131</v>
      </c>
      <c r="E16" s="78" t="s">
        <v>131</v>
      </c>
      <c r="F16" s="78" t="s">
        <v>130</v>
      </c>
      <c r="G16" s="78" t="s">
        <v>130</v>
      </c>
      <c r="H16" s="78" t="s">
        <v>130</v>
      </c>
      <c r="I16" s="78" t="s">
        <v>133</v>
      </c>
    </row>
    <row r="17" spans="1:9">
      <c r="A17" s="85"/>
      <c r="B17" s="82"/>
      <c r="C17" s="80" t="s">
        <v>12</v>
      </c>
      <c r="D17" s="78" t="s">
        <v>71</v>
      </c>
      <c r="E17" s="78" t="s">
        <v>72</v>
      </c>
      <c r="F17" s="78" t="s">
        <v>72</v>
      </c>
      <c r="G17" s="78" t="s">
        <v>72</v>
      </c>
      <c r="H17" s="78" t="s">
        <v>71</v>
      </c>
      <c r="I17" s="78" t="s">
        <v>109</v>
      </c>
    </row>
    <row r="18" spans="1:9">
      <c r="A18" s="85"/>
      <c r="B18" s="82"/>
      <c r="C18" s="80" t="s">
        <v>13</v>
      </c>
      <c r="D18" s="78" t="s">
        <v>13</v>
      </c>
      <c r="E18" s="78" t="s">
        <v>13</v>
      </c>
      <c r="F18" s="78" t="s">
        <v>13</v>
      </c>
      <c r="G18" s="78" t="s">
        <v>13</v>
      </c>
      <c r="H18" s="78" t="s">
        <v>13</v>
      </c>
      <c r="I18" s="78" t="s">
        <v>13</v>
      </c>
    </row>
    <row r="19" spans="1:9">
      <c r="A19" s="85"/>
      <c r="B19" s="82"/>
      <c r="C19" s="80" t="s">
        <v>62</v>
      </c>
      <c r="D19" s="78" t="s">
        <v>13</v>
      </c>
      <c r="E19" s="78" t="s">
        <v>13</v>
      </c>
      <c r="F19" s="78" t="s">
        <v>51</v>
      </c>
      <c r="G19" s="78" t="s">
        <v>51</v>
      </c>
      <c r="H19" s="78" t="s">
        <v>51</v>
      </c>
      <c r="I19" s="78" t="s">
        <v>51</v>
      </c>
    </row>
    <row r="20" spans="1:9">
      <c r="A20" s="85"/>
      <c r="B20" s="82"/>
      <c r="C20" s="80" t="s">
        <v>63</v>
      </c>
      <c r="D20" s="78" t="s">
        <v>13</v>
      </c>
      <c r="E20" s="78" t="s">
        <v>13</v>
      </c>
      <c r="F20" s="78" t="s">
        <v>13</v>
      </c>
      <c r="G20" s="78" t="s">
        <v>13</v>
      </c>
      <c r="H20" s="78" t="s">
        <v>13</v>
      </c>
      <c r="I20" s="78" t="s">
        <v>64</v>
      </c>
    </row>
    <row r="21" spans="1:9">
      <c r="A21" s="85" t="s">
        <v>78</v>
      </c>
      <c r="B21" s="81" t="s">
        <v>134</v>
      </c>
      <c r="C21" s="80" t="s">
        <v>13</v>
      </c>
      <c r="D21" s="78" t="s">
        <v>13</v>
      </c>
      <c r="E21" s="78" t="s">
        <v>13</v>
      </c>
      <c r="F21" s="78" t="s">
        <v>13</v>
      </c>
      <c r="G21" s="78" t="s">
        <v>13</v>
      </c>
      <c r="H21" s="78" t="s">
        <v>13</v>
      </c>
      <c r="I21" s="78" t="s">
        <v>13</v>
      </c>
    </row>
    <row r="22" spans="1:9">
      <c r="A22" s="84" t="s">
        <v>81</v>
      </c>
      <c r="B22" s="81" t="s">
        <v>134</v>
      </c>
      <c r="C22" s="80" t="s">
        <v>67</v>
      </c>
      <c r="D22" s="78" t="s">
        <v>82</v>
      </c>
      <c r="E22" s="78" t="s">
        <v>83</v>
      </c>
      <c r="F22" s="78" t="s">
        <v>110</v>
      </c>
      <c r="G22" s="78" t="s">
        <v>95</v>
      </c>
      <c r="H22" s="78" t="s">
        <v>111</v>
      </c>
      <c r="I22" s="78" t="s">
        <v>112</v>
      </c>
    </row>
    <row r="23" spans="1:9">
      <c r="A23" s="85"/>
      <c r="B23" s="82"/>
      <c r="C23" s="80" t="s">
        <v>68</v>
      </c>
      <c r="D23" s="78" t="s">
        <v>83</v>
      </c>
      <c r="E23" s="78" t="s">
        <v>84</v>
      </c>
      <c r="F23" s="78" t="s">
        <v>113</v>
      </c>
      <c r="G23" s="78" t="s">
        <v>96</v>
      </c>
      <c r="H23" s="78" t="s">
        <v>114</v>
      </c>
      <c r="I23" s="78" t="s">
        <v>115</v>
      </c>
    </row>
    <row r="24" spans="1:9">
      <c r="A24" s="85"/>
      <c r="B24" s="82"/>
      <c r="C24" s="80" t="s">
        <v>10</v>
      </c>
      <c r="D24" s="78" t="s">
        <v>73</v>
      </c>
      <c r="E24" s="78" t="s">
        <v>85</v>
      </c>
      <c r="F24" s="78" t="s">
        <v>70</v>
      </c>
      <c r="G24" s="78" t="s">
        <v>70</v>
      </c>
      <c r="H24" s="78" t="s">
        <v>70</v>
      </c>
      <c r="I24" s="78" t="s">
        <v>70</v>
      </c>
    </row>
    <row r="25" spans="1:9">
      <c r="A25" s="85"/>
      <c r="B25" s="82"/>
      <c r="C25" s="80" t="s">
        <v>61</v>
      </c>
      <c r="D25" s="78" t="s">
        <v>135</v>
      </c>
      <c r="E25" s="78" t="s">
        <v>131</v>
      </c>
      <c r="F25" s="78" t="s">
        <v>131</v>
      </c>
      <c r="G25" s="78" t="s">
        <v>130</v>
      </c>
      <c r="H25" s="78" t="s">
        <v>130</v>
      </c>
      <c r="I25" s="78" t="s">
        <v>130</v>
      </c>
    </row>
    <row r="26" spans="1:9">
      <c r="A26" s="85"/>
      <c r="B26" s="82"/>
      <c r="C26" s="80" t="s">
        <v>11</v>
      </c>
      <c r="D26" s="78" t="s">
        <v>135</v>
      </c>
      <c r="E26" s="78" t="s">
        <v>131</v>
      </c>
      <c r="F26" s="78" t="s">
        <v>131</v>
      </c>
      <c r="G26" s="78" t="s">
        <v>130</v>
      </c>
      <c r="H26" s="78" t="s">
        <v>130</v>
      </c>
      <c r="I26" s="78" t="s">
        <v>130</v>
      </c>
    </row>
    <row r="27" spans="1:9">
      <c r="A27" s="85"/>
      <c r="B27" s="82"/>
      <c r="C27" s="80" t="s">
        <v>12</v>
      </c>
      <c r="D27" s="78" t="s">
        <v>74</v>
      </c>
      <c r="E27" s="78" t="s">
        <v>86</v>
      </c>
      <c r="F27" s="78" t="s">
        <v>72</v>
      </c>
      <c r="G27" s="78" t="s">
        <v>72</v>
      </c>
      <c r="H27" s="78" t="s">
        <v>72</v>
      </c>
      <c r="I27" s="78" t="s">
        <v>72</v>
      </c>
    </row>
    <row r="28" spans="1:9">
      <c r="A28" s="85"/>
      <c r="B28" s="82"/>
      <c r="C28" s="80" t="s">
        <v>13</v>
      </c>
      <c r="D28" s="78" t="s">
        <v>13</v>
      </c>
      <c r="E28" s="78" t="s">
        <v>13</v>
      </c>
      <c r="F28" s="78" t="s">
        <v>13</v>
      </c>
      <c r="G28" s="78" t="s">
        <v>13</v>
      </c>
      <c r="H28" s="78" t="s">
        <v>13</v>
      </c>
      <c r="I28" s="78" t="s">
        <v>13</v>
      </c>
    </row>
    <row r="29" spans="1:9">
      <c r="A29" s="85"/>
      <c r="B29" s="82"/>
      <c r="C29" s="80" t="s">
        <v>62</v>
      </c>
      <c r="D29" s="78" t="s">
        <v>51</v>
      </c>
      <c r="E29" s="78" t="s">
        <v>13</v>
      </c>
      <c r="F29" s="78" t="s">
        <v>13</v>
      </c>
      <c r="G29" s="78" t="s">
        <v>51</v>
      </c>
      <c r="H29" s="78" t="s">
        <v>51</v>
      </c>
      <c r="I29" s="78" t="s">
        <v>51</v>
      </c>
    </row>
    <row r="30" spans="1:9">
      <c r="A30" s="85"/>
      <c r="B30" s="82"/>
      <c r="C30" s="80" t="s">
        <v>63</v>
      </c>
      <c r="D30" s="78" t="s">
        <v>66</v>
      </c>
      <c r="E30" s="78" t="s">
        <v>13</v>
      </c>
      <c r="F30" s="78" t="s">
        <v>13</v>
      </c>
      <c r="G30" s="78" t="s">
        <v>13</v>
      </c>
      <c r="H30" s="78" t="s">
        <v>13</v>
      </c>
      <c r="I30" s="78" t="s">
        <v>13</v>
      </c>
    </row>
    <row r="31" spans="1:9">
      <c r="A31" s="85" t="s">
        <v>81</v>
      </c>
      <c r="B31" s="81" t="s">
        <v>134</v>
      </c>
      <c r="C31" s="80" t="s">
        <v>13</v>
      </c>
      <c r="D31" s="78" t="s">
        <v>13</v>
      </c>
      <c r="E31" s="78" t="s">
        <v>13</v>
      </c>
      <c r="F31" s="78" t="s">
        <v>13</v>
      </c>
      <c r="G31" s="78" t="s">
        <v>13</v>
      </c>
      <c r="H31" s="78" t="s">
        <v>13</v>
      </c>
      <c r="I31" s="78" t="s">
        <v>13</v>
      </c>
    </row>
    <row r="32" spans="1:9">
      <c r="A32" s="84" t="s">
        <v>97</v>
      </c>
      <c r="B32" s="81" t="s">
        <v>134</v>
      </c>
      <c r="C32" s="80" t="s">
        <v>67</v>
      </c>
      <c r="D32" s="78" t="s">
        <v>98</v>
      </c>
      <c r="E32" s="78" t="s">
        <v>116</v>
      </c>
      <c r="F32" s="78" t="s">
        <v>117</v>
      </c>
      <c r="G32" s="78" t="s">
        <v>118</v>
      </c>
      <c r="H32" s="78" t="s">
        <v>99</v>
      </c>
      <c r="I32" s="78" t="s">
        <v>119</v>
      </c>
    </row>
    <row r="33" spans="1:9">
      <c r="A33" s="85"/>
      <c r="B33" s="82"/>
      <c r="C33" s="80" t="s">
        <v>68</v>
      </c>
      <c r="D33" s="78" t="s">
        <v>120</v>
      </c>
      <c r="E33" s="78" t="s">
        <v>117</v>
      </c>
      <c r="F33" s="78" t="s">
        <v>121</v>
      </c>
      <c r="G33" s="78" t="s">
        <v>122</v>
      </c>
      <c r="H33" s="78" t="s">
        <v>100</v>
      </c>
      <c r="I33" s="78" t="s">
        <v>123</v>
      </c>
    </row>
    <row r="34" spans="1:9">
      <c r="A34" s="85"/>
      <c r="B34" s="82"/>
      <c r="C34" s="80" t="s">
        <v>10</v>
      </c>
      <c r="D34" s="78" t="s">
        <v>124</v>
      </c>
      <c r="E34" s="78" t="s">
        <v>125</v>
      </c>
      <c r="F34" s="78" t="s">
        <v>126</v>
      </c>
      <c r="G34" s="78" t="s">
        <v>70</v>
      </c>
      <c r="H34" s="78" t="s">
        <v>70</v>
      </c>
      <c r="I34" s="78" t="s">
        <v>70</v>
      </c>
    </row>
    <row r="35" spans="1:9">
      <c r="A35" s="85"/>
      <c r="B35" s="82"/>
      <c r="C35" s="80" t="s">
        <v>61</v>
      </c>
      <c r="D35" s="78" t="s">
        <v>45</v>
      </c>
      <c r="E35" s="78" t="s">
        <v>45</v>
      </c>
      <c r="F35" s="78" t="s">
        <v>130</v>
      </c>
      <c r="G35" s="78" t="s">
        <v>130</v>
      </c>
      <c r="H35" s="78" t="s">
        <v>130</v>
      </c>
      <c r="I35" s="78" t="s">
        <v>130</v>
      </c>
    </row>
    <row r="36" spans="1:9">
      <c r="A36" s="85"/>
      <c r="B36" s="82"/>
      <c r="C36" s="80" t="s">
        <v>11</v>
      </c>
      <c r="D36" s="78" t="s">
        <v>46</v>
      </c>
      <c r="E36" s="78" t="s">
        <v>46</v>
      </c>
      <c r="F36" s="78" t="s">
        <v>130</v>
      </c>
      <c r="G36" s="78" t="s">
        <v>130</v>
      </c>
      <c r="H36" s="78" t="s">
        <v>130</v>
      </c>
      <c r="I36" s="78" t="s">
        <v>130</v>
      </c>
    </row>
    <row r="37" spans="1:9">
      <c r="A37" s="85"/>
      <c r="B37" s="82"/>
      <c r="C37" s="80" t="s">
        <v>12</v>
      </c>
      <c r="D37" s="78" t="s">
        <v>127</v>
      </c>
      <c r="E37" s="78" t="s">
        <v>128</v>
      </c>
      <c r="F37" s="78" t="s">
        <v>129</v>
      </c>
      <c r="G37" s="78" t="s">
        <v>72</v>
      </c>
      <c r="H37" s="78" t="s">
        <v>72</v>
      </c>
      <c r="I37" s="78" t="s">
        <v>72</v>
      </c>
    </row>
    <row r="38" spans="1:9">
      <c r="A38" s="85"/>
      <c r="B38" s="82"/>
      <c r="C38" s="80" t="s">
        <v>13</v>
      </c>
      <c r="D38" s="78" t="s">
        <v>13</v>
      </c>
      <c r="E38" s="78" t="s">
        <v>13</v>
      </c>
      <c r="F38" s="78" t="s">
        <v>13</v>
      </c>
      <c r="G38" s="78" t="s">
        <v>13</v>
      </c>
      <c r="H38" s="78" t="s">
        <v>13</v>
      </c>
      <c r="I38" s="78" t="s">
        <v>13</v>
      </c>
    </row>
    <row r="39" spans="1:9">
      <c r="A39" s="85"/>
      <c r="B39" s="82"/>
      <c r="C39" s="80" t="s">
        <v>62</v>
      </c>
      <c r="D39" s="78" t="s">
        <v>51</v>
      </c>
      <c r="E39" s="78" t="s">
        <v>51</v>
      </c>
      <c r="F39" s="78" t="s">
        <v>51</v>
      </c>
      <c r="G39" s="78" t="s">
        <v>51</v>
      </c>
      <c r="H39" s="78" t="s">
        <v>51</v>
      </c>
      <c r="I39" s="78" t="s">
        <v>51</v>
      </c>
    </row>
    <row r="40" spans="1:9">
      <c r="A40" s="85"/>
      <c r="B40" s="82"/>
      <c r="C40" s="80" t="s">
        <v>63</v>
      </c>
      <c r="D40" s="78" t="s">
        <v>65</v>
      </c>
      <c r="E40" s="78" t="s">
        <v>65</v>
      </c>
      <c r="F40" s="78" t="s">
        <v>13</v>
      </c>
      <c r="G40" s="78" t="s">
        <v>13</v>
      </c>
      <c r="H40" s="78" t="s">
        <v>13</v>
      </c>
      <c r="I40" s="78" t="s">
        <v>13</v>
      </c>
    </row>
    <row r="41" spans="1:9">
      <c r="A41" s="86" t="s">
        <v>97</v>
      </c>
      <c r="B41" s="83" t="s">
        <v>134</v>
      </c>
      <c r="C41" s="80" t="s">
        <v>13</v>
      </c>
      <c r="D41" s="78" t="s">
        <v>13</v>
      </c>
      <c r="E41" s="78" t="s">
        <v>13</v>
      </c>
      <c r="F41" s="78" t="s">
        <v>13</v>
      </c>
      <c r="G41" s="78" t="s">
        <v>13</v>
      </c>
      <c r="H41" s="78" t="s">
        <v>13</v>
      </c>
      <c r="I41" s="78" t="s">
        <v>13</v>
      </c>
    </row>
  </sheetData>
  <pageMargins left="0.7" right="0.7" top="0.75" bottom="0.75" header="0.3" footer="0.3"/>
  <pageSetup scale="2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D28"/>
  <sheetViews>
    <sheetView workbookViewId="0"/>
  </sheetViews>
  <sheetFormatPr defaultRowHeight="15"/>
  <cols>
    <col min="1" max="1" width="20.140625" customWidth="1"/>
    <col min="2" max="2" width="25.140625" customWidth="1"/>
    <col min="3" max="3" width="77.28515625" customWidth="1"/>
    <col min="4" max="4" width="13.85546875" bestFit="1" customWidth="1"/>
  </cols>
  <sheetData>
    <row r="1" spans="1:4" s="14" customFormat="1" ht="18.75">
      <c r="A1" s="14" t="s">
        <v>36</v>
      </c>
    </row>
    <row r="2" spans="1:4">
      <c r="A2" s="4" t="s">
        <v>5</v>
      </c>
      <c r="B2" s="104" t="s">
        <v>43</v>
      </c>
      <c r="C2" s="104"/>
    </row>
    <row r="3" spans="1:4">
      <c r="A3" s="4" t="s">
        <v>16</v>
      </c>
      <c r="B3" s="105"/>
      <c r="C3" s="105"/>
      <c r="D3" t="s">
        <v>58</v>
      </c>
    </row>
    <row r="4" spans="1:4">
      <c r="A4" s="4" t="s">
        <v>24</v>
      </c>
      <c r="B4" s="2" t="s">
        <v>41</v>
      </c>
      <c r="C4" t="s">
        <v>25</v>
      </c>
    </row>
    <row r="6" spans="1:4">
      <c r="A6" s="4" t="s">
        <v>26</v>
      </c>
    </row>
    <row r="7" spans="1:4">
      <c r="A7" t="s">
        <v>27</v>
      </c>
      <c r="B7" s="6" t="s">
        <v>42</v>
      </c>
    </row>
    <row r="8" spans="1:4">
      <c r="A8" t="s">
        <v>28</v>
      </c>
      <c r="B8" s="2" t="b">
        <v>1</v>
      </c>
    </row>
    <row r="10" spans="1:4">
      <c r="A10" s="4" t="s">
        <v>18</v>
      </c>
    </row>
    <row r="11" spans="1:4">
      <c r="A11" s="7" t="s">
        <v>22</v>
      </c>
      <c r="B11" s="7" t="s">
        <v>21</v>
      </c>
    </row>
    <row r="12" spans="1:4">
      <c r="A12" t="s">
        <v>53</v>
      </c>
      <c r="B12" s="17">
        <f ca="1">TODAY()</f>
        <v>42987</v>
      </c>
    </row>
    <row r="13" spans="1:4">
      <c r="A13" t="s">
        <v>54</v>
      </c>
      <c r="B13" s="2" t="b">
        <v>0</v>
      </c>
    </row>
    <row r="14" spans="1:4">
      <c r="A14" t="s">
        <v>56</v>
      </c>
      <c r="B14" s="2" t="b">
        <v>1</v>
      </c>
    </row>
    <row r="15" spans="1:4">
      <c r="A15" t="s">
        <v>59</v>
      </c>
      <c r="B15" s="2" t="b">
        <v>0</v>
      </c>
    </row>
    <row r="16" spans="1:4">
      <c r="A16" t="s">
        <v>20</v>
      </c>
      <c r="B16" s="2" t="b">
        <v>1</v>
      </c>
    </row>
    <row r="18" spans="1:3">
      <c r="A18" s="4" t="s">
        <v>17</v>
      </c>
      <c r="B18" t="s">
        <v>29</v>
      </c>
    </row>
    <row r="19" spans="1:3">
      <c r="A19" s="7" t="s">
        <v>37</v>
      </c>
      <c r="B19" s="7" t="s">
        <v>38</v>
      </c>
      <c r="C19" s="5"/>
    </row>
    <row r="20" spans="1:3">
      <c r="A20" s="8" t="s">
        <v>62</v>
      </c>
      <c r="B20" s="9" t="s">
        <v>40</v>
      </c>
    </row>
    <row r="21" spans="1:3">
      <c r="A21" s="15"/>
      <c r="B21" s="16"/>
    </row>
    <row r="22" spans="1:3">
      <c r="A22" s="15"/>
      <c r="B22" s="16"/>
    </row>
    <row r="23" spans="1:3">
      <c r="A23" s="15"/>
      <c r="B23" s="16"/>
    </row>
    <row r="24" spans="1:3">
      <c r="A24" s="15" t="s">
        <v>63</v>
      </c>
      <c r="B24" s="16" t="s">
        <v>44</v>
      </c>
    </row>
    <row r="25" spans="1:3">
      <c r="A25" s="10" t="s">
        <v>23</v>
      </c>
      <c r="B25" s="11" t="s">
        <v>23</v>
      </c>
    </row>
    <row r="26" spans="1:3">
      <c r="A26" s="12" t="s">
        <v>39</v>
      </c>
      <c r="B26" s="13" t="s">
        <v>39</v>
      </c>
    </row>
    <row r="27" spans="1:3">
      <c r="A27" t="s">
        <v>35</v>
      </c>
    </row>
    <row r="28" spans="1:3">
      <c r="A28" t="s">
        <v>55</v>
      </c>
    </row>
  </sheetData>
  <mergeCells count="2">
    <mergeCell ref="B2:C2"/>
    <mergeCell ref="B3:C3"/>
  </mergeCells>
  <dataValidations count="2">
    <dataValidation type="list" allowBlank="1" showInputMessage="1" showErrorMessage="1" sqref="B7">
      <formula1>"Portrait,Landscape"</formula1>
    </dataValidation>
    <dataValidation type="list" allowBlank="1" showInputMessage="1" showErrorMessage="1" sqref="B8 B13:B16">
      <formula1>"TRUE,FALSE"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12.16.16</vt:lpstr>
      <vt:lpstr>12.29.16</vt:lpstr>
      <vt:lpstr>OPL</vt:lpstr>
      <vt:lpstr>Paste from Excel Inplace</vt:lpstr>
      <vt:lpstr>Setup</vt:lpstr>
      <vt:lpstr>'12.16.16'!Print_Area</vt:lpstr>
      <vt:lpstr>'12.29.16'!Print_Area</vt:lpstr>
      <vt:lpstr>RptOnePage</vt:lpstr>
      <vt:lpstr>RptOrientation</vt:lpstr>
      <vt:lpstr>RptPath</vt:lpstr>
      <vt:lpstr>RptPlantID</vt:lpstr>
      <vt:lpstr>RptRenames</vt:lpstr>
      <vt:lpstr>RptTitle</vt:lpstr>
      <vt:lpstr>RptUseEndDate</vt:lpstr>
      <vt:lpstr>RptUseEndTime</vt:lpstr>
      <vt:lpstr>RptUseProdShifts</vt:lpstr>
      <vt:lpstr>RptUseStartTime</vt:lpstr>
    </vt:vector>
  </TitlesOfParts>
  <Company>General Mills,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Leuthard</dc:creator>
  <cp:lastModifiedBy>cadynk</cp:lastModifiedBy>
  <cp:lastPrinted>2016-12-01T19:56:04Z</cp:lastPrinted>
  <dcterms:created xsi:type="dcterms:W3CDTF">2010-08-13T20:11:37Z</dcterms:created>
  <dcterms:modified xsi:type="dcterms:W3CDTF">2017-09-09T17:12:54Z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Amanda Leuthard</vt:lpwstr>
  </property>
  <property fmtid="{D5CDD505-2E9C-101B-9397-08002B2CF9AE}" pid="3" name="SPSDescription">
    <vt:lpwstr>Still in testing mode.</vt:lpwstr>
  </property>
  <property fmtid="{D5CDD505-2E9C-101B-9397-08002B2CF9AE}" pid="4" name="Status">
    <vt:lpwstr>Rough</vt:lpwstr>
  </property>
  <property fmtid="{D5CDD505-2E9C-101B-9397-08002B2CF9AE}" pid="5" name="BExAnalyzer_OldName">
    <vt:lpwstr>Yoplait Schedule Template.xlsm</vt:lpwstr>
  </property>
</Properties>
</file>